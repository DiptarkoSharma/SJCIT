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rainings\Bodhayan\DA Suite\Business Analytics\Session-5\"/>
    </mc:Choice>
  </mc:AlternateContent>
  <xr:revisionPtr revIDLastSave="0" documentId="8_{3E2708B8-A30D-4782-95E3-4AC28C36D17D}" xr6:coauthVersionLast="47" xr6:coauthVersionMax="47" xr10:uidLastSave="{00000000-0000-0000-0000-000000000000}"/>
  <bookViews>
    <workbookView xWindow="-120" yWindow="-120" windowWidth="20730" windowHeight="11160" xr2:uid="{D6F40422-C4A9-7C44-A844-FD97086FBBD7}"/>
  </bookViews>
  <sheets>
    <sheet name="Cover Page" sheetId="7" r:id="rId1"/>
    <sheet name="Inventory" sheetId="4" r:id="rId2"/>
    <sheet name="Vendor Info" sheetId="5" r:id="rId3"/>
    <sheet name="Order Summary" sheetId="6" r:id="rId4"/>
    <sheet name="Inventory Complete" sheetId="1" r:id="rId5"/>
    <sheet name="Vendor Info Complete" sheetId="2" r:id="rId6"/>
    <sheet name="Order Summary Complete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G21" i="1"/>
  <c r="H21" i="1" s="1"/>
  <c r="J21" i="1"/>
  <c r="G4" i="1"/>
  <c r="J8" i="1"/>
  <c r="J9" i="1"/>
  <c r="K9" i="1" s="1"/>
  <c r="J10" i="1"/>
  <c r="J11" i="1"/>
  <c r="K11" i="1" s="1"/>
  <c r="J12" i="1"/>
  <c r="K12" i="1" s="1"/>
  <c r="J13" i="1"/>
  <c r="K13" i="1" s="1"/>
  <c r="J14" i="1"/>
  <c r="K14" i="1" s="1"/>
  <c r="J15" i="1"/>
  <c r="K15" i="1" s="1"/>
  <c r="J16" i="1"/>
  <c r="J17" i="1"/>
  <c r="K17" i="1" s="1"/>
  <c r="J18" i="1"/>
  <c r="J19" i="1"/>
  <c r="K19" i="1" s="1"/>
  <c r="J20" i="1"/>
  <c r="K20" i="1" s="1"/>
  <c r="D5" i="1"/>
  <c r="D8" i="1"/>
  <c r="G15" i="1"/>
  <c r="H15" i="1" s="1"/>
  <c r="G11" i="1"/>
  <c r="H11" i="1" s="1"/>
  <c r="G19" i="1"/>
  <c r="H19" i="1" s="1"/>
  <c r="C6" i="2"/>
  <c r="D9" i="1" l="1"/>
  <c r="K8" i="1"/>
  <c r="G5" i="1"/>
  <c r="C7" i="2"/>
  <c r="G12" i="1"/>
  <c r="H12" i="1" s="1"/>
  <c r="G10" i="1"/>
  <c r="H10" i="1" s="1"/>
  <c r="G18" i="1"/>
  <c r="H18" i="1" s="1"/>
  <c r="G17" i="1"/>
  <c r="H17" i="1" s="1"/>
  <c r="G16" i="1"/>
  <c r="H16" i="1" s="1"/>
  <c r="G14" i="1"/>
  <c r="H14" i="1" s="1"/>
  <c r="G13" i="1"/>
  <c r="H13" i="1" s="1"/>
  <c r="G20" i="1"/>
  <c r="H20" i="1" s="1"/>
  <c r="G9" i="1"/>
  <c r="H9" i="1" s="1"/>
  <c r="G8" i="1"/>
  <c r="H8" i="1" s="1"/>
  <c r="D4" i="1" l="1"/>
  <c r="K10" i="1"/>
  <c r="C8" i="2"/>
  <c r="D11" i="1"/>
  <c r="D10" i="1"/>
  <c r="C9" i="2" l="1"/>
  <c r="C10" i="2" l="1"/>
  <c r="D12" i="1"/>
  <c r="D13" i="1"/>
  <c r="C11" i="2" l="1"/>
  <c r="C12" i="2" l="1"/>
  <c r="D14" i="1" s="1"/>
  <c r="C13" i="2" l="1"/>
  <c r="D15" i="1"/>
  <c r="C14" i="2" l="1"/>
  <c r="K16" i="1"/>
  <c r="C15" i="2" l="1"/>
  <c r="D17" i="1" s="1"/>
  <c r="C16" i="2" l="1"/>
  <c r="C17" i="2" l="1"/>
  <c r="C18" i="2" s="1"/>
  <c r="C19" i="2" s="1"/>
  <c r="C20" i="2" s="1"/>
  <c r="C21" i="2" s="1"/>
  <c r="C22" i="2" s="1"/>
  <c r="C23" i="2" s="1"/>
  <c r="C24" i="2" s="1"/>
  <c r="D20" i="1" l="1"/>
  <c r="E20" i="3"/>
  <c r="F20" i="3" s="1"/>
  <c r="E15" i="3"/>
  <c r="F15" i="3" s="1"/>
  <c r="E21" i="3"/>
  <c r="E13" i="3"/>
  <c r="F13" i="3" s="1"/>
  <c r="E22" i="3"/>
  <c r="E18" i="3"/>
  <c r="F18" i="3" s="1"/>
  <c r="E12" i="3"/>
  <c r="F12" i="3" s="1"/>
  <c r="E19" i="3"/>
  <c r="F19" i="3" s="1"/>
  <c r="E14" i="3"/>
  <c r="F14" i="3" s="1"/>
  <c r="E16" i="3"/>
  <c r="F16" i="3" s="1"/>
  <c r="E17" i="3"/>
  <c r="F17" i="3" s="1"/>
  <c r="E23" i="3"/>
  <c r="G17" i="3" a="1"/>
  <c r="G17" i="3" s="1"/>
  <c r="K21" i="1"/>
  <c r="D21" i="1"/>
  <c r="D16" i="1"/>
  <c r="G18" i="3" a="1"/>
  <c r="G18" i="3" s="1"/>
  <c r="G20" i="3" a="1"/>
  <c r="G20" i="3" s="1"/>
  <c r="G16" i="3" a="1"/>
  <c r="G16" i="3" s="1"/>
  <c r="G12" i="3" a="1"/>
  <c r="G12" i="3" s="1"/>
  <c r="D18" i="1"/>
  <c r="G19" i="3" a="1"/>
  <c r="G19" i="3" s="1"/>
  <c r="K18" i="1"/>
  <c r="G13" i="3" a="1"/>
  <c r="G13" i="3" s="1"/>
  <c r="D19" i="1"/>
  <c r="G15" i="3" a="1"/>
  <c r="G15" i="3" s="1"/>
  <c r="G14" i="3" a="1"/>
  <c r="G14" i="3" s="1"/>
  <c r="C7" i="3" l="1" a="1"/>
  <c r="E8" i="3" l="1"/>
  <c r="E9" i="3"/>
  <c r="E10" i="3"/>
  <c r="E11" i="3"/>
  <c r="F11" i="3" s="1"/>
  <c r="G8" i="3" a="1"/>
  <c r="G8" i="3" s="1"/>
  <c r="F9" i="3"/>
  <c r="G9" i="3" a="1"/>
  <c r="G9" i="3" s="1"/>
  <c r="F10" i="3"/>
  <c r="G10" i="3" a="1"/>
  <c r="G10" i="3" s="1"/>
  <c r="G11" i="3" a="1"/>
  <c r="G11" i="3" s="1"/>
  <c r="F8" i="3"/>
  <c r="C7" i="3"/>
  <c r="E7" i="3" s="1"/>
  <c r="F7" i="3" l="1"/>
  <c r="D4" i="3" s="1"/>
  <c r="G7" i="3" a="1"/>
  <c r="G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<sst xmlns="http://schemas.openxmlformats.org/spreadsheetml/2006/main" count="312" uniqueCount="99">
  <si>
    <t>Description</t>
  </si>
  <si>
    <t>Reorder?</t>
  </si>
  <si>
    <t>Vendor</t>
  </si>
  <si>
    <t>Contact</t>
  </si>
  <si>
    <t>Website</t>
  </si>
  <si>
    <t>Contact Name</t>
  </si>
  <si>
    <t>Email Address</t>
  </si>
  <si>
    <t>Vendor &amp; Product Information</t>
  </si>
  <si>
    <t>Inventory Management System</t>
  </si>
  <si>
    <t>Current Date</t>
  </si>
  <si>
    <t>Day of Week</t>
  </si>
  <si>
    <t>Quantity</t>
  </si>
  <si>
    <t>Total Cost</t>
  </si>
  <si>
    <t>Total Order</t>
  </si>
  <si>
    <t>Daily Order Summary</t>
  </si>
  <si>
    <t>Product ID</t>
  </si>
  <si>
    <t>Product</t>
  </si>
  <si>
    <t>Typical 
Order Time</t>
  </si>
  <si>
    <t>Josh Smith</t>
  </si>
  <si>
    <t>Mike Dean</t>
  </si>
  <si>
    <t>Mikel Artena</t>
  </si>
  <si>
    <t>Sam Allargine</t>
  </si>
  <si>
    <t>Arya Janne</t>
  </si>
  <si>
    <t>Miriam Adelson</t>
  </si>
  <si>
    <t>Ken Griffin</t>
  </si>
  <si>
    <t>Jeff Yass</t>
  </si>
  <si>
    <t>Jim Simons</t>
  </si>
  <si>
    <t>Link</t>
  </si>
  <si>
    <t>Total Value</t>
  </si>
  <si>
    <t>Quantity in 
Stock</t>
  </si>
  <si>
    <t>Reorder
Threshold</t>
  </si>
  <si>
    <t>Unique Products</t>
  </si>
  <si>
    <t>Inventory Value</t>
  </si>
  <si>
    <t>ETA</t>
  </si>
  <si>
    <t>Sale Price 
per Unit</t>
  </si>
  <si>
    <t>Email</t>
  </si>
  <si>
    <t>ID</t>
  </si>
  <si>
    <t>Fading Light</t>
  </si>
  <si>
    <t>Silent Echo</t>
  </si>
  <si>
    <t>Iron Sky</t>
  </si>
  <si>
    <t>Wanderlust</t>
  </si>
  <si>
    <t>Lost Horizon</t>
  </si>
  <si>
    <t>Silver Veil</t>
  </si>
  <si>
    <t>The Win</t>
  </si>
  <si>
    <t>The Hollow</t>
  </si>
  <si>
    <t>Broker</t>
  </si>
  <si>
    <t>Frostfire</t>
  </si>
  <si>
    <t>The Tide</t>
  </si>
  <si>
    <t>Crimson</t>
  </si>
  <si>
    <t>Shattered</t>
  </si>
  <si>
    <t>Voidwalker</t>
  </si>
  <si>
    <t>Hidden Path</t>
  </si>
  <si>
    <t>Blackthron</t>
  </si>
  <si>
    <t>Echofall</t>
  </si>
  <si>
    <t>The Nexus</t>
  </si>
  <si>
    <t>Moonshade</t>
  </si>
  <si>
    <t>Shadowfall</t>
  </si>
  <si>
    <t>Thriller</t>
  </si>
  <si>
    <t>Mystery</t>
  </si>
  <si>
    <t>Sci-Fi</t>
  </si>
  <si>
    <t>Travel</t>
  </si>
  <si>
    <t>Fantasy</t>
  </si>
  <si>
    <t>History</t>
  </si>
  <si>
    <t>Horror</t>
  </si>
  <si>
    <t>Drama</t>
  </si>
  <si>
    <t>Dystopian</t>
  </si>
  <si>
    <t>Action</t>
  </si>
  <si>
    <t>Romance</t>
  </si>
  <si>
    <t>Urban</t>
  </si>
  <si>
    <t>Starlight Publishing</t>
  </si>
  <si>
    <t>Ironclad Books</t>
  </si>
  <si>
    <t>EchoBay Press</t>
  </si>
  <si>
    <t>Silverleaf Editions</t>
  </si>
  <si>
    <t>Moonlit House</t>
  </si>
  <si>
    <t>Phoenix Publishers</t>
  </si>
  <si>
    <t>Shadow Media</t>
  </si>
  <si>
    <t>Nexus Literary</t>
  </si>
  <si>
    <t>Veilbound House</t>
  </si>
  <si>
    <t>Shattered Sky</t>
  </si>
  <si>
    <t>josh.smith@gmail.com</t>
  </si>
  <si>
    <t>mike.dean@gmail.com</t>
  </si>
  <si>
    <t>mikel.artena@gmail.com</t>
  </si>
  <si>
    <t>sam.allargine@gmail.com</t>
  </si>
  <si>
    <t>arya.janne@gmail.com</t>
  </si>
  <si>
    <t>miriam.adelson@gmail.com</t>
  </si>
  <si>
    <t>ken.griffin@gmail.com</t>
  </si>
  <si>
    <t>jim.simons@gmail.com</t>
  </si>
  <si>
    <t>jeff.yass@gmail.com</t>
  </si>
  <si>
    <t>Cost per 
Unit</t>
  </si>
  <si>
    <t>Price per 
Unit</t>
  </si>
  <si>
    <t>Inventory Management</t>
  </si>
  <si>
    <r>
      <t xml:space="preserve">Get </t>
    </r>
    <r>
      <rPr>
        <b/>
        <sz val="16"/>
        <color theme="1"/>
        <rFont val="Aptos Narrow"/>
        <family val="2"/>
        <scheme val="minor"/>
      </rPr>
      <t>10% OFF</t>
    </r>
    <r>
      <rPr>
        <sz val="16"/>
        <color theme="1"/>
        <rFont val="Aptos Narrow"/>
        <family val="2"/>
        <scheme val="minor"/>
      </rPr>
      <t xml:space="preserve"> our course using coupon code </t>
    </r>
    <r>
      <rPr>
        <b/>
        <sz val="16"/>
        <color theme="1"/>
        <rFont val="Aptos Narrow"/>
        <family val="2"/>
        <scheme val="minor"/>
      </rPr>
      <t>EMAIL10</t>
    </r>
  </si>
  <si>
    <t>Get our Excel for Business &amp; Finance Course</t>
  </si>
  <si>
    <t>Go to Sheet 1 -&gt; here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</si>
  <si>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</si>
  <si>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</si>
  <si>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</si>
  <si>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</si>
  <si>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Reorder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</si>
</sst>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#"/>
  </numFmts>
  <fonts count="15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rgb="FF073673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6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20"/>
      <color rgb="FF073673"/>
      <name val="Aptos Narrow"/>
      <scheme val="minor"/>
    </font>
    <font>
      <b/>
      <u/>
      <sz val="12"/>
      <color theme="10"/>
      <name val="Aptos Narrow"/>
      <scheme val="minor"/>
    </font>
    <font>
      <i/>
      <sz val="14"/>
      <color rgb="FF0432F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07367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4" fontId="1" fillId="2" borderId="2" xfId="0" applyNumberFormat="1" applyFont="1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3" fillId="0" borderId="0" xfId="1" applyFill="1" applyBorder="1" applyAlignment="1">
      <alignment horizontal="center"/>
    </xf>
    <xf numFmtId="0" fontId="3" fillId="0" borderId="0" xfId="1" applyFill="1" applyBorder="1"/>
    <xf numFmtId="165" fontId="0" fillId="0" borderId="0" xfId="0" applyNumberFormat="1" applyAlignment="1">
      <alignment horizontal="center"/>
    </xf>
    <xf numFmtId="2" fontId="0" fillId="0" borderId="0" xfId="0" applyNumberFormat="1"/>
    <xf numFmtId="14" fontId="0" fillId="0" borderId="0" xfId="0" applyNumberFormat="1" applyAlignment="1">
      <alignment horizontal="center"/>
    </xf>
    <xf numFmtId="0" fontId="6" fillId="0" borderId="1" xfId="0" applyFont="1" applyBorder="1"/>
    <xf numFmtId="0" fontId="0" fillId="0" borderId="3" xfId="0" applyBorder="1"/>
    <xf numFmtId="0" fontId="8" fillId="0" borderId="4" xfId="0" applyFont="1" applyBorder="1" applyAlignment="1">
      <alignment horizontal="center" vertical="center"/>
    </xf>
    <xf numFmtId="0" fontId="0" fillId="0" borderId="5" xfId="0" applyBorder="1"/>
    <xf numFmtId="0" fontId="0" fillId="4" borderId="0" xfId="0" applyFill="1"/>
    <xf numFmtId="0" fontId="0" fillId="0" borderId="6" xfId="0" applyBorder="1"/>
    <xf numFmtId="0" fontId="8" fillId="0" borderId="0" xfId="0" applyFont="1" applyAlignment="1">
      <alignment horizontal="center" vertical="center"/>
    </xf>
    <xf numFmtId="0" fontId="0" fillId="0" borderId="7" xfId="0" applyBorder="1"/>
    <xf numFmtId="0" fontId="7" fillId="0" borderId="6" xfId="0" applyFont="1" applyBorder="1"/>
    <xf numFmtId="0" fontId="9" fillId="0" borderId="0" xfId="0" applyFont="1" applyAlignment="1">
      <alignment horizontal="center"/>
    </xf>
    <xf numFmtId="0" fontId="7" fillId="0" borderId="7" xfId="0" applyFont="1" applyBorder="1"/>
    <xf numFmtId="0" fontId="7" fillId="4" borderId="0" xfId="0" applyFont="1" applyFill="1"/>
    <xf numFmtId="0" fontId="7" fillId="0" borderId="0" xfId="0" applyFont="1"/>
    <xf numFmtId="0" fontId="0" fillId="0" borderId="6" xfId="0" applyBorder="1" applyAlignment="1">
      <alignment vertical="center"/>
    </xf>
    <xf numFmtId="0" fontId="11" fillId="5" borderId="8" xfId="1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4" borderId="0" xfId="0" applyFill="1" applyAlignment="1">
      <alignment vertical="center"/>
    </xf>
    <xf numFmtId="0" fontId="12" fillId="0" borderId="0" xfId="1" applyFont="1"/>
    <xf numFmtId="0" fontId="13" fillId="0" borderId="0" xfId="1" applyFont="1" applyFill="1" applyBorder="1"/>
    <xf numFmtId="0" fontId="14" fillId="0" borderId="9" xfId="0" applyFont="1" applyBorder="1"/>
    <xf numFmtId="0" fontId="0" fillId="0" borderId="0" xfId="0" applyAlignment="1">
      <alignment vertical="top" wrapText="1"/>
    </xf>
    <xf numFmtId="0" fontId="0" fillId="0" borderId="10" xfId="0" applyBorder="1"/>
    <xf numFmtId="0" fontId="0" fillId="0" borderId="9" xfId="0" applyBorder="1"/>
    <xf numFmtId="0" fontId="0" fillId="0" borderId="11" xfId="0" applyBorder="1"/>
  </cellXfs>
  <cellStyles count="2">
    <cellStyle name="Hyperlink" xfId="1" builtinId="8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7367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Vendor Info'!A1"/><Relationship Id="rId2" Type="http://schemas.openxmlformats.org/officeDocument/2006/relationships/hyperlink" Target="#Inventory!A1"/><Relationship Id="rId1" Type="http://schemas.openxmlformats.org/officeDocument/2006/relationships/image" Target="../media/image2.png"/><Relationship Id="rId4" Type="http://schemas.openxmlformats.org/officeDocument/2006/relationships/hyperlink" Target="#'Order Summary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Vendor Info'!A1"/><Relationship Id="rId2" Type="http://schemas.openxmlformats.org/officeDocument/2006/relationships/hyperlink" Target="#Inventory!A1"/><Relationship Id="rId1" Type="http://schemas.openxmlformats.org/officeDocument/2006/relationships/image" Target="../media/image2.png"/><Relationship Id="rId4" Type="http://schemas.openxmlformats.org/officeDocument/2006/relationships/hyperlink" Target="#'Order Summary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Vendor Info'!A1"/><Relationship Id="rId2" Type="http://schemas.openxmlformats.org/officeDocument/2006/relationships/hyperlink" Target="#Inventory!A1"/><Relationship Id="rId1" Type="http://schemas.openxmlformats.org/officeDocument/2006/relationships/image" Target="../media/image2.png"/><Relationship Id="rId4" Type="http://schemas.openxmlformats.org/officeDocument/2006/relationships/hyperlink" Target="#'Order Summary'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80792D-C50C-624F-A3F5-96B96A2BA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326" y="1465813"/>
          <a:ext cx="2648507" cy="9214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171604</xdr:colOff>
      <xdr:row>0</xdr:row>
      <xdr:rowOff>169743</xdr:rowOff>
    </xdr:from>
    <xdr:to>
      <xdr:col>0</xdr:col>
      <xdr:colOff>1437861</xdr:colOff>
      <xdr:row>2</xdr:row>
      <xdr:rowOff>60573</xdr:rowOff>
    </xdr:to>
    <xdr:pic>
      <xdr:nvPicPr>
        <xdr:cNvPr id="2" name="Picture 1" descr="A white text on a black background&#10;&#10;Description automatically generated">
          <a:extLst>
            <a:ext uri="{FF2B5EF4-FFF2-40B4-BE49-F238E27FC236}">
              <a16:creationId xmlns:a16="http://schemas.microsoft.com/office/drawing/2014/main" id="{250EF9AE-8117-4BA0-AB86-5CAAFD813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604" y="169743"/>
          <a:ext cx="1266257" cy="354656"/>
        </a:xfrm>
        <a:prstGeom prst="rect">
          <a:avLst/>
        </a:prstGeom>
      </xdr:spPr>
    </xdr:pic>
    <xdr:clientData/>
  </xdr:twoCellAnchor>
  <xdr:twoCellAnchor>
    <xdr:from>
      <xdr:col>0</xdr:col>
      <xdr:colOff>144741</xdr:colOff>
      <xdr:row>3</xdr:row>
      <xdr:rowOff>119272</xdr:rowOff>
    </xdr:from>
    <xdr:to>
      <xdr:col>0</xdr:col>
      <xdr:colOff>1485278</xdr:colOff>
      <xdr:row>6</xdr:row>
      <xdr:rowOff>26506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142BD5-58BD-4966-860F-F385C4E84366}"/>
            </a:ext>
          </a:extLst>
        </xdr:cNvPr>
        <xdr:cNvSpPr/>
      </xdr:nvSpPr>
      <xdr:spPr>
        <a:xfrm>
          <a:off x="144741" y="744112"/>
          <a:ext cx="1340537" cy="6997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Inventory</a:t>
          </a:r>
        </a:p>
      </xdr:txBody>
    </xdr:sp>
    <xdr:clientData/>
  </xdr:twoCellAnchor>
  <xdr:twoCellAnchor>
    <xdr:from>
      <xdr:col>0</xdr:col>
      <xdr:colOff>164619</xdr:colOff>
      <xdr:row>6</xdr:row>
      <xdr:rowOff>4</xdr:rowOff>
    </xdr:from>
    <xdr:to>
      <xdr:col>0</xdr:col>
      <xdr:colOff>1505156</xdr:colOff>
      <xdr:row>8</xdr:row>
      <xdr:rowOff>106021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253CDD-67DB-407F-A602-114429E156AE}"/>
            </a:ext>
          </a:extLst>
        </xdr:cNvPr>
        <xdr:cNvSpPr/>
      </xdr:nvSpPr>
      <xdr:spPr>
        <a:xfrm>
          <a:off x="164619" y="1225830"/>
          <a:ext cx="1340537" cy="7222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Vendor Info</a:t>
          </a:r>
        </a:p>
      </xdr:txBody>
    </xdr:sp>
    <xdr:clientData/>
  </xdr:twoCellAnchor>
  <xdr:twoCellAnchor>
    <xdr:from>
      <xdr:col>0</xdr:col>
      <xdr:colOff>157993</xdr:colOff>
      <xdr:row>7</xdr:row>
      <xdr:rowOff>79520</xdr:rowOff>
    </xdr:from>
    <xdr:to>
      <xdr:col>0</xdr:col>
      <xdr:colOff>1498530</xdr:colOff>
      <xdr:row>9</xdr:row>
      <xdr:rowOff>185536</xdr:rowOff>
    </xdr:to>
    <xdr:sp macro="" textlink="">
      <xdr:nvSpPr>
        <xdr:cNvPr id="9" name="Rectangle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B449AB7-C434-44B4-9D12-9451D1B59110}"/>
            </a:ext>
          </a:extLst>
        </xdr:cNvPr>
        <xdr:cNvSpPr/>
      </xdr:nvSpPr>
      <xdr:spPr>
        <a:xfrm>
          <a:off x="157993" y="1694960"/>
          <a:ext cx="1340537" cy="5022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Order Summary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178229</xdr:colOff>
      <xdr:row>0</xdr:row>
      <xdr:rowOff>169743</xdr:rowOff>
    </xdr:from>
    <xdr:to>
      <xdr:col>0</xdr:col>
      <xdr:colOff>1401124</xdr:colOff>
      <xdr:row>2</xdr:row>
      <xdr:rowOff>60573</xdr:rowOff>
    </xdr:to>
    <xdr:pic>
      <xdr:nvPicPr>
        <xdr:cNvPr id="3" name="Picture 2" descr="A white text on a black background&#10;&#10;Description automatically generated">
          <a:extLst>
            <a:ext uri="{FF2B5EF4-FFF2-40B4-BE49-F238E27FC236}">
              <a16:creationId xmlns:a16="http://schemas.microsoft.com/office/drawing/2014/main" id="{280362A7-C484-47DC-92D8-5F425D764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29" y="169743"/>
          <a:ext cx="1222895" cy="354656"/>
        </a:xfrm>
        <a:prstGeom prst="rect">
          <a:avLst/>
        </a:prstGeom>
      </xdr:spPr>
    </xdr:pic>
    <xdr:clientData/>
  </xdr:twoCellAnchor>
  <xdr:twoCellAnchor>
    <xdr:from>
      <xdr:col>0</xdr:col>
      <xdr:colOff>144741</xdr:colOff>
      <xdr:row>3</xdr:row>
      <xdr:rowOff>119272</xdr:rowOff>
    </xdr:from>
    <xdr:to>
      <xdr:col>0</xdr:col>
      <xdr:colOff>1485278</xdr:colOff>
      <xdr:row>6</xdr:row>
      <xdr:rowOff>26506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F3ADAF-69B6-4E93-9693-4379FF73E713}"/>
            </a:ext>
          </a:extLst>
        </xdr:cNvPr>
        <xdr:cNvSpPr/>
      </xdr:nvSpPr>
      <xdr:spPr>
        <a:xfrm>
          <a:off x="144741" y="744112"/>
          <a:ext cx="1340537" cy="5015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Inventory</a:t>
          </a:r>
        </a:p>
      </xdr:txBody>
    </xdr:sp>
    <xdr:clientData/>
  </xdr:twoCellAnchor>
  <xdr:twoCellAnchor>
    <xdr:from>
      <xdr:col>0</xdr:col>
      <xdr:colOff>164619</xdr:colOff>
      <xdr:row>4</xdr:row>
      <xdr:rowOff>159033</xdr:rowOff>
    </xdr:from>
    <xdr:to>
      <xdr:col>0</xdr:col>
      <xdr:colOff>1505156</xdr:colOff>
      <xdr:row>7</xdr:row>
      <xdr:rowOff>66267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BFD5C04-F33E-43CB-87AD-DAD527F6852E}"/>
            </a:ext>
          </a:extLst>
        </xdr:cNvPr>
        <xdr:cNvSpPr/>
      </xdr:nvSpPr>
      <xdr:spPr>
        <a:xfrm>
          <a:off x="164619" y="1186076"/>
          <a:ext cx="1340537" cy="5035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Vendor Info</a:t>
          </a:r>
        </a:p>
      </xdr:txBody>
    </xdr:sp>
    <xdr:clientData/>
  </xdr:twoCellAnchor>
  <xdr:twoCellAnchor>
    <xdr:from>
      <xdr:col>0</xdr:col>
      <xdr:colOff>157993</xdr:colOff>
      <xdr:row>7</xdr:row>
      <xdr:rowOff>79520</xdr:rowOff>
    </xdr:from>
    <xdr:to>
      <xdr:col>0</xdr:col>
      <xdr:colOff>1498530</xdr:colOff>
      <xdr:row>9</xdr:row>
      <xdr:rowOff>185536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B8BE9B0-713F-4344-92BF-5B553FA0B920}"/>
            </a:ext>
          </a:extLst>
        </xdr:cNvPr>
        <xdr:cNvSpPr/>
      </xdr:nvSpPr>
      <xdr:spPr>
        <a:xfrm>
          <a:off x="157993" y="1702911"/>
          <a:ext cx="1340537" cy="5035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Order Summary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201127</xdr:colOff>
      <xdr:row>0</xdr:row>
      <xdr:rowOff>164057</xdr:rowOff>
    </xdr:from>
    <xdr:to>
      <xdr:col>0</xdr:col>
      <xdr:colOff>1384852</xdr:colOff>
      <xdr:row>2</xdr:row>
      <xdr:rowOff>40756</xdr:rowOff>
    </xdr:to>
    <xdr:pic>
      <xdr:nvPicPr>
        <xdr:cNvPr id="4" name="Picture 3" descr="A white text on a black background&#10;&#10;Description automatically generated">
          <a:extLst>
            <a:ext uri="{FF2B5EF4-FFF2-40B4-BE49-F238E27FC236}">
              <a16:creationId xmlns:a16="http://schemas.microsoft.com/office/drawing/2014/main" id="{E16BB843-4D90-0F01-9C1B-87469EF20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27" y="164057"/>
          <a:ext cx="1183725" cy="340525"/>
        </a:xfrm>
        <a:prstGeom prst="rect">
          <a:avLst/>
        </a:prstGeom>
      </xdr:spPr>
    </xdr:pic>
    <xdr:clientData/>
  </xdr:twoCellAnchor>
  <xdr:twoCellAnchor>
    <xdr:from>
      <xdr:col>0</xdr:col>
      <xdr:colOff>144741</xdr:colOff>
      <xdr:row>3</xdr:row>
      <xdr:rowOff>119272</xdr:rowOff>
    </xdr:from>
    <xdr:to>
      <xdr:col>0</xdr:col>
      <xdr:colOff>1485278</xdr:colOff>
      <xdr:row>6</xdr:row>
      <xdr:rowOff>26506</xdr:rowOff>
    </xdr:to>
    <xdr:sp macro="" textlink="">
      <xdr:nvSpPr>
        <xdr:cNvPr id="5" name="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EE2F29-5AC4-C364-40F7-AB01DB17D6C9}"/>
            </a:ext>
          </a:extLst>
        </xdr:cNvPr>
        <xdr:cNvSpPr/>
      </xdr:nvSpPr>
      <xdr:spPr>
        <a:xfrm>
          <a:off x="144741" y="748750"/>
          <a:ext cx="1340537" cy="5035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Inventory</a:t>
          </a:r>
        </a:p>
      </xdr:txBody>
    </xdr:sp>
    <xdr:clientData/>
  </xdr:twoCellAnchor>
  <xdr:twoCellAnchor>
    <xdr:from>
      <xdr:col>0</xdr:col>
      <xdr:colOff>151367</xdr:colOff>
      <xdr:row>6</xdr:row>
      <xdr:rowOff>33133</xdr:rowOff>
    </xdr:from>
    <xdr:to>
      <xdr:col>0</xdr:col>
      <xdr:colOff>1491904</xdr:colOff>
      <xdr:row>8</xdr:row>
      <xdr:rowOff>139150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4A237BB-EDE0-CF7E-8E2C-D83FBB54CAA4}"/>
            </a:ext>
          </a:extLst>
        </xdr:cNvPr>
        <xdr:cNvSpPr/>
      </xdr:nvSpPr>
      <xdr:spPr>
        <a:xfrm>
          <a:off x="151367" y="1258959"/>
          <a:ext cx="1340537" cy="5035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Vendor Info</a:t>
          </a:r>
        </a:p>
      </xdr:txBody>
    </xdr:sp>
    <xdr:clientData/>
  </xdr:twoCellAnchor>
  <xdr:twoCellAnchor>
    <xdr:from>
      <xdr:col>0</xdr:col>
      <xdr:colOff>157993</xdr:colOff>
      <xdr:row>8</xdr:row>
      <xdr:rowOff>145777</xdr:rowOff>
    </xdr:from>
    <xdr:to>
      <xdr:col>0</xdr:col>
      <xdr:colOff>1498530</xdr:colOff>
      <xdr:row>11</xdr:row>
      <xdr:rowOff>53011</xdr:rowOff>
    </xdr:to>
    <xdr:sp macro="" textlink="">
      <xdr:nvSpPr>
        <xdr:cNvPr id="10" name="Rectangle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D81CEFB-B8EB-BEF4-56CE-3B9776CD8E37}"/>
            </a:ext>
          </a:extLst>
        </xdr:cNvPr>
        <xdr:cNvSpPr/>
      </xdr:nvSpPr>
      <xdr:spPr>
        <a:xfrm>
          <a:off x="157993" y="1769168"/>
          <a:ext cx="1340537" cy="5035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Order Summary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56C7C7-05E1-4962-BC66-A90F1F7039ED}" name="Inventory" displayName="Inventory" ref="C7:K21" totalsRowShown="0" headerRowDxfId="20" dataDxfId="19">
  <autoFilter ref="C7:K21" xr:uid="{9456C7C7-05E1-4962-BC66-A90F1F7039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9FE12F2-D8BF-403C-8E00-2F6A30BFF8BE}" name="Product ID" dataDxfId="18"/>
    <tableColumn id="2" xr3:uid="{B9920FC7-B77B-461D-B6E1-578E91AE2490}" name="Product" dataDxfId="17">
      <calculatedColumnFormula>_xlfn.XLOOKUP(Inventory[[#This Row],[Product ID]],Vendor[ID],Vendor[Product])</calculatedColumnFormula>
    </tableColumn>
    <tableColumn id="3" xr3:uid="{AABDE804-8D0F-4FD5-9E73-5A0447C743BB}" name="Quantity in _x000a_Stock" dataDxfId="16"/>
    <tableColumn id="4" xr3:uid="{BC8BE25C-F1AB-4DE7-8632-901080F79860}" name="Cost per _x000a_Unit" dataDxfId="15"/>
    <tableColumn id="5" xr3:uid="{4BACE3FE-09E6-4ACD-AC01-472356722C71}" name="Sale Price _x000a_per Unit" dataDxfId="14">
      <calculatedColumnFormula>F8*3</calculatedColumnFormula>
    </tableColumn>
    <tableColumn id="6" xr3:uid="{8B4923B3-3606-4046-B9AB-783FFD037F76}" name="Total Value" dataDxfId="13">
      <calculatedColumnFormula>Inventory[[#This Row],[Sale Price 
per Unit]]*Inventory[[#This Row],[Quantity in 
Stock]]</calculatedColumnFormula>
    </tableColumn>
    <tableColumn id="7" xr3:uid="{67320651-FA68-460F-BA66-8234B4915041}" name="Reorder_x000a_Threshold" dataDxfId="12"/>
    <tableColumn id="8" xr3:uid="{25B304D3-4AB5-4C06-A360-086A90B1E665}" name="Reorder?" dataDxfId="11">
      <calculatedColumnFormula>IF(Inventory[[#This Row],[Quantity in 
Stock]]&lt;=Inventory[[#This Row],[Reorder
Threshold]],"Yes","No")</calculatedColumnFormula>
    </tableColumn>
    <tableColumn id="9" xr3:uid="{DA2C1357-7C72-40DF-BA1E-8BA9FF02DA40}" name="ETA" dataDxfId="10">
      <calculatedColumnFormula>IF(Inventory[[#This Row],[Reorder?]]="Yes",'Inventory Complete'!$G$4+_xlfn.XLOOKUP(Inventory[[#This Row],[Product ID]],Vendor[ID],Vendor[Typical 
Order Time]),"")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A8353B-3FED-4465-9068-B42DD51A5E34}" name="Vendor" displayName="Vendor" ref="C4:K24" totalsRowShown="0" headerRowDxfId="9">
  <autoFilter ref="C4:K24" xr:uid="{9AA8353B-3FED-4465-9068-B42DD51A5E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2E02ABD-57CC-4CC5-956F-9FB15670B50E}" name="ID" dataDxfId="8">
      <calculatedColumnFormula>C4+1</calculatedColumnFormula>
    </tableColumn>
    <tableColumn id="2" xr3:uid="{2FC17D1E-6846-45B7-B641-6CF51369E4FA}" name="Product" dataDxfId="7"/>
    <tableColumn id="3" xr3:uid="{75D3CCE7-7590-4F83-AE21-F5E59B26F680}" name="Description" dataDxfId="6"/>
    <tableColumn id="4" xr3:uid="{BC751F74-DCA8-4F92-934D-1B958B1F09AC}" name="Vendor" dataDxfId="5"/>
    <tableColumn id="5" xr3:uid="{8A909CFB-0991-481D-B189-EB8A993F1677}" name="Typical _x000a_Order Time" dataDxfId="4"/>
    <tableColumn id="6" xr3:uid="{31E5F7B6-5FA1-4763-B786-9D9974B3107B}" name="Reorder" dataDxfId="3"/>
    <tableColumn id="7" xr3:uid="{FA53872C-63EC-455A-BE1C-7C94B96A7CFA}" name="Contact Name" dataDxfId="2"/>
    <tableColumn id="8" xr3:uid="{83BBE1F7-AB2C-4FC6-B0CD-FEBCB7B84E45}" name="Email Address" dataDxfId="1" dataCellStyle="Hyperlink"/>
    <tableColumn id="9" xr3:uid="{B11FC0FD-4D0E-429D-B231-4E2BA3230F37}" name="Website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excel-for-business-financ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ikel.artena@gmail.com" TargetMode="External"/><Relationship Id="rId13" Type="http://schemas.openxmlformats.org/officeDocument/2006/relationships/hyperlink" Target="mailto:ken.griffin@gmail.com" TargetMode="External"/><Relationship Id="rId18" Type="http://schemas.openxmlformats.org/officeDocument/2006/relationships/hyperlink" Target="mailto:jim.simons@gmail.com" TargetMode="External"/><Relationship Id="rId3" Type="http://schemas.openxmlformats.org/officeDocument/2006/relationships/hyperlink" Target="mailto:mikel.artena@gmail.com" TargetMode="External"/><Relationship Id="rId7" Type="http://schemas.openxmlformats.org/officeDocument/2006/relationships/hyperlink" Target="mailto:josh.smith@gmail.com" TargetMode="External"/><Relationship Id="rId12" Type="http://schemas.openxmlformats.org/officeDocument/2006/relationships/hyperlink" Target="mailto:miriam.adelson@gmail.com" TargetMode="External"/><Relationship Id="rId17" Type="http://schemas.openxmlformats.org/officeDocument/2006/relationships/hyperlink" Target="mailto:miriam.adelson@gmail.com" TargetMode="External"/><Relationship Id="rId2" Type="http://schemas.openxmlformats.org/officeDocument/2006/relationships/hyperlink" Target="mailto:mike.dean@gmail.com" TargetMode="External"/><Relationship Id="rId16" Type="http://schemas.openxmlformats.org/officeDocument/2006/relationships/hyperlink" Target="mailto:miriam.adelson@gmail.com" TargetMode="External"/><Relationship Id="rId20" Type="http://schemas.openxmlformats.org/officeDocument/2006/relationships/hyperlink" Target="mailto:jim.simons@gmail.com" TargetMode="External"/><Relationship Id="rId1" Type="http://schemas.openxmlformats.org/officeDocument/2006/relationships/hyperlink" Target="mailto:josh.smith@gmail.com" TargetMode="External"/><Relationship Id="rId6" Type="http://schemas.openxmlformats.org/officeDocument/2006/relationships/hyperlink" Target="mailto:josh.smith@gmail.com" TargetMode="External"/><Relationship Id="rId11" Type="http://schemas.openxmlformats.org/officeDocument/2006/relationships/hyperlink" Target="mailto:arya.janne@gmail.com" TargetMode="External"/><Relationship Id="rId5" Type="http://schemas.openxmlformats.org/officeDocument/2006/relationships/hyperlink" Target="mailto:josh.smith@gmail.com" TargetMode="External"/><Relationship Id="rId15" Type="http://schemas.openxmlformats.org/officeDocument/2006/relationships/hyperlink" Target="mailto:miriam.adelson@gmail.com" TargetMode="External"/><Relationship Id="rId10" Type="http://schemas.openxmlformats.org/officeDocument/2006/relationships/hyperlink" Target="mailto:mikel.artena@gmail.com" TargetMode="External"/><Relationship Id="rId19" Type="http://schemas.openxmlformats.org/officeDocument/2006/relationships/hyperlink" Target="mailto:jeff.yass@gmail.com" TargetMode="External"/><Relationship Id="rId4" Type="http://schemas.openxmlformats.org/officeDocument/2006/relationships/hyperlink" Target="mailto:sam.allargine@gmail.com" TargetMode="External"/><Relationship Id="rId9" Type="http://schemas.openxmlformats.org/officeDocument/2006/relationships/hyperlink" Target="mailto:mikel.artena@gmail.com" TargetMode="External"/><Relationship Id="rId14" Type="http://schemas.openxmlformats.org/officeDocument/2006/relationships/hyperlink" Target="mailto:miriam.adelson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mikel.artena@gmail.com" TargetMode="External"/><Relationship Id="rId13" Type="http://schemas.openxmlformats.org/officeDocument/2006/relationships/hyperlink" Target="mailto:ken.griffin@gmail.com" TargetMode="External"/><Relationship Id="rId18" Type="http://schemas.openxmlformats.org/officeDocument/2006/relationships/hyperlink" Target="mailto:jim.simons@gmail.com" TargetMode="External"/><Relationship Id="rId3" Type="http://schemas.openxmlformats.org/officeDocument/2006/relationships/hyperlink" Target="mailto:mikel.artena@gmail.com" TargetMode="External"/><Relationship Id="rId21" Type="http://schemas.openxmlformats.org/officeDocument/2006/relationships/drawing" Target="../drawings/drawing3.xml"/><Relationship Id="rId7" Type="http://schemas.openxmlformats.org/officeDocument/2006/relationships/hyperlink" Target="mailto:josh.smith@gmail.com" TargetMode="External"/><Relationship Id="rId12" Type="http://schemas.openxmlformats.org/officeDocument/2006/relationships/hyperlink" Target="mailto:miriam.adelson@gmail.com" TargetMode="External"/><Relationship Id="rId17" Type="http://schemas.openxmlformats.org/officeDocument/2006/relationships/hyperlink" Target="mailto:miriam.adelson@gmail.com" TargetMode="External"/><Relationship Id="rId2" Type="http://schemas.openxmlformats.org/officeDocument/2006/relationships/hyperlink" Target="mailto:mike.dean@gmail.com" TargetMode="External"/><Relationship Id="rId16" Type="http://schemas.openxmlformats.org/officeDocument/2006/relationships/hyperlink" Target="mailto:miriam.adelson@gmail.com" TargetMode="External"/><Relationship Id="rId20" Type="http://schemas.openxmlformats.org/officeDocument/2006/relationships/hyperlink" Target="mailto:jim.simons@gmail.com" TargetMode="External"/><Relationship Id="rId1" Type="http://schemas.openxmlformats.org/officeDocument/2006/relationships/hyperlink" Target="mailto:josh.smith@gmail.com" TargetMode="External"/><Relationship Id="rId6" Type="http://schemas.openxmlformats.org/officeDocument/2006/relationships/hyperlink" Target="mailto:josh.smith@gmail.com" TargetMode="External"/><Relationship Id="rId11" Type="http://schemas.openxmlformats.org/officeDocument/2006/relationships/hyperlink" Target="mailto:arya.janne@gmail.com" TargetMode="External"/><Relationship Id="rId5" Type="http://schemas.openxmlformats.org/officeDocument/2006/relationships/hyperlink" Target="mailto:josh.smith@gmail.com" TargetMode="External"/><Relationship Id="rId15" Type="http://schemas.openxmlformats.org/officeDocument/2006/relationships/hyperlink" Target="mailto:miriam.adelson@gmail.com" TargetMode="External"/><Relationship Id="rId10" Type="http://schemas.openxmlformats.org/officeDocument/2006/relationships/hyperlink" Target="mailto:mikel.artena@gmail.com" TargetMode="External"/><Relationship Id="rId19" Type="http://schemas.openxmlformats.org/officeDocument/2006/relationships/hyperlink" Target="mailto:jeff.yass@gmail.com" TargetMode="External"/><Relationship Id="rId4" Type="http://schemas.openxmlformats.org/officeDocument/2006/relationships/hyperlink" Target="mailto:sam.allargine@gmail.com" TargetMode="External"/><Relationship Id="rId9" Type="http://schemas.openxmlformats.org/officeDocument/2006/relationships/hyperlink" Target="mailto:mikel.artena@gmail.com" TargetMode="External"/><Relationship Id="rId14" Type="http://schemas.openxmlformats.org/officeDocument/2006/relationships/hyperlink" Target="mailto:miriam.adelson@gmail.com" TargetMode="External"/><Relationship Id="rId22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68CF-932B-A349-A4B5-2F1CAB4B5A80}">
  <dimension ref="B3:D18"/>
  <sheetViews>
    <sheetView showGridLines="0" tabSelected="1" zoomScale="130" zoomScaleNormal="130" workbookViewId="0"/>
  </sheetViews>
  <sheetFormatPr defaultColWidth="10.77734375" defaultRowHeight="15"/>
  <cols>
    <col min="1" max="1" width="10.77734375" style="21"/>
    <col min="2" max="2" width="8.44140625" style="21" customWidth="1"/>
    <col min="3" max="3" width="95.6640625" style="21" customWidth="1"/>
    <col min="4" max="4" width="9.44140625" style="21" customWidth="1"/>
    <col min="5" max="16384" width="10.77734375" style="21"/>
  </cols>
  <sheetData>
    <row r="3" spans="2:4" ht="75.75">
      <c r="B3" s="18"/>
      <c r="C3" s="19" t="s">
        <v>90</v>
      </c>
      <c r="D3" s="20"/>
    </row>
    <row r="4" spans="2:4" ht="42" customHeight="1">
      <c r="B4" s="22"/>
      <c r="C4" s="23"/>
      <c r="D4" s="24"/>
    </row>
    <row r="5" spans="2:4" ht="32.1" customHeight="1">
      <c r="B5" s="22"/>
      <c r="C5" s="23"/>
      <c r="D5" s="24"/>
    </row>
    <row r="6" spans="2:4" ht="11.1" customHeight="1">
      <c r="B6" s="22"/>
      <c r="C6"/>
      <c r="D6" s="24"/>
    </row>
    <row r="7" spans="2:4" s="28" customFormat="1" ht="20.25">
      <c r="B7" s="25"/>
      <c r="C7" s="26" t="s">
        <v>91</v>
      </c>
      <c r="D7" s="27"/>
    </row>
    <row r="8" spans="2:4" s="28" customFormat="1" ht="11.1" customHeight="1">
      <c r="B8" s="25"/>
      <c r="C8" s="29"/>
      <c r="D8" s="27"/>
    </row>
    <row r="9" spans="2:4" s="33" customFormat="1" ht="26.25">
      <c r="B9" s="30"/>
      <c r="C9" s="31" t="s">
        <v>92</v>
      </c>
      <c r="D9" s="32"/>
    </row>
    <row r="10" spans="2:4">
      <c r="B10" s="22"/>
      <c r="C10"/>
      <c r="D10" s="24"/>
    </row>
    <row r="11" spans="2:4" ht="15.75">
      <c r="B11" s="22"/>
      <c r="C11" s="34" t="s">
        <v>93</v>
      </c>
      <c r="D11" s="24"/>
    </row>
    <row r="12" spans="2:4" ht="6" customHeight="1">
      <c r="B12" s="22"/>
      <c r="C12"/>
      <c r="D12" s="24"/>
    </row>
    <row r="13" spans="2:4" ht="18.75">
      <c r="B13" s="22"/>
      <c r="C13" s="35" t="s">
        <v>94</v>
      </c>
      <c r="D13" s="24"/>
    </row>
    <row r="14" spans="2:4" ht="8.1" customHeight="1">
      <c r="B14" s="22"/>
      <c r="C14"/>
      <c r="D14" s="24"/>
    </row>
    <row r="15" spans="2:4" ht="15.75">
      <c r="B15" s="22"/>
      <c r="C15" s="36" t="s">
        <v>95</v>
      </c>
      <c r="D15" s="24"/>
    </row>
    <row r="16" spans="2:4">
      <c r="B16" s="22"/>
      <c r="C16" t="s">
        <v>96</v>
      </c>
      <c r="D16" s="24"/>
    </row>
    <row r="17" spans="2:4" ht="30">
      <c r="B17" s="22"/>
      <c r="C17" s="37" t="s">
        <v>97</v>
      </c>
      <c r="D17" s="24"/>
    </row>
    <row r="18" spans="2:4">
      <c r="B18" s="38"/>
      <c r="C18" s="39"/>
      <c r="D18" s="40"/>
    </row>
  </sheetData>
  <sheetProtection algorithmName="SHA-512" hashValue="QS5Kf2Z6R3hoNZO1pSljUfbli58WBx8Hnd72qum+iEolpcj5LFuVVebck1HWRqv/CGMivJbFHpWaw4NbjLKNZg==" saltValue="0XPr+59kcb/ZXimStZUJRg==" spinCount="100000" sheet="1" objects="1" scenarios="1"/>
  <hyperlinks>
    <hyperlink ref="C13" r:id="rId1" display="Made by Kenji Explains" xr:uid="{E21EDFCA-2CB2-3F42-85A9-8454BC2C41D8}"/>
    <hyperlink ref="C9" r:id="rId2" display="Get our VBA &amp; Macros Course" xr:uid="{9F066124-4EA2-0549-BBDE-642FFE5C61AB}"/>
    <hyperlink ref="C11" location="Inventory!A1" display="Go to Sheet 1 -&gt; here" xr:uid="{33EA1DD7-C1CA-FC4A-9604-1463BD931283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B3A3-07D3-1F45-91DB-E7072DE9AAF7}">
  <dimension ref="B1:J32"/>
  <sheetViews>
    <sheetView zoomScale="115" zoomScaleNormal="115" workbookViewId="0"/>
  </sheetViews>
  <sheetFormatPr defaultColWidth="11.109375" defaultRowHeight="15"/>
  <cols>
    <col min="1" max="1" width="4" customWidth="1"/>
    <col min="2" max="2" width="14.33203125" customWidth="1"/>
    <col min="3" max="3" width="11.77734375" customWidth="1"/>
    <col min="4" max="4" width="10" bestFit="1" customWidth="1"/>
    <col min="5" max="5" width="11.33203125" bestFit="1" customWidth="1"/>
    <col min="6" max="6" width="12.109375" bestFit="1" customWidth="1"/>
    <col min="7" max="7" width="11.33203125" customWidth="1"/>
    <col min="8" max="8" width="9" bestFit="1" customWidth="1"/>
    <col min="10" max="10" width="13.109375" style="15" customWidth="1"/>
  </cols>
  <sheetData>
    <row r="1" spans="2:10">
      <c r="J1"/>
    </row>
    <row r="2" spans="2:10" ht="20.25">
      <c r="B2" s="17" t="s">
        <v>8</v>
      </c>
      <c r="C2" s="1"/>
      <c r="D2" s="1"/>
      <c r="E2" s="1"/>
      <c r="F2" s="1"/>
      <c r="G2" s="1"/>
      <c r="H2" s="1"/>
      <c r="I2" s="1"/>
      <c r="J2" s="1"/>
    </row>
    <row r="3" spans="2:10">
      <c r="J3"/>
    </row>
    <row r="4" spans="2:10" ht="15.75">
      <c r="B4" t="s">
        <v>32</v>
      </c>
      <c r="C4" s="4"/>
      <c r="E4" t="s">
        <v>9</v>
      </c>
      <c r="F4" s="5"/>
      <c r="J4"/>
    </row>
    <row r="5" spans="2:10" ht="15.75">
      <c r="B5" t="s">
        <v>31</v>
      </c>
      <c r="C5" s="4"/>
      <c r="E5" t="s">
        <v>10</v>
      </c>
      <c r="F5" s="4"/>
      <c r="J5"/>
    </row>
    <row r="6" spans="2:10">
      <c r="J6"/>
    </row>
    <row r="7" spans="2:10" ht="33" customHeight="1">
      <c r="B7" s="10" t="s">
        <v>15</v>
      </c>
      <c r="C7" s="10" t="s">
        <v>16</v>
      </c>
      <c r="D7" s="11" t="s">
        <v>29</v>
      </c>
      <c r="E7" s="11" t="s">
        <v>89</v>
      </c>
      <c r="F7" s="11" t="s">
        <v>34</v>
      </c>
      <c r="G7" s="10" t="s">
        <v>28</v>
      </c>
      <c r="H7" s="11" t="s">
        <v>30</v>
      </c>
      <c r="I7" s="10" t="s">
        <v>1</v>
      </c>
      <c r="J7" s="10" t="s">
        <v>33</v>
      </c>
    </row>
    <row r="8" spans="2:10">
      <c r="B8" s="2">
        <v>101</v>
      </c>
      <c r="C8" s="2"/>
      <c r="D8" s="2">
        <v>3</v>
      </c>
      <c r="E8" s="3">
        <v>6.5357631098462861</v>
      </c>
      <c r="F8" s="3">
        <f>E8*3</f>
        <v>19.607289329538858</v>
      </c>
      <c r="G8" s="3"/>
      <c r="H8" s="2">
        <v>4</v>
      </c>
      <c r="I8" s="2"/>
      <c r="J8" s="6"/>
    </row>
    <row r="9" spans="2:10">
      <c r="B9" s="2">
        <v>102</v>
      </c>
      <c r="C9" s="2"/>
      <c r="D9" s="2">
        <v>12</v>
      </c>
      <c r="E9" s="3">
        <v>8.1162716224706184</v>
      </c>
      <c r="F9" s="3">
        <f t="shared" ref="F9:F20" si="0">E9*3</f>
        <v>24.348814867411853</v>
      </c>
      <c r="G9" s="3"/>
      <c r="H9" s="2">
        <v>6</v>
      </c>
      <c r="I9" s="2"/>
      <c r="J9" s="6"/>
    </row>
    <row r="10" spans="2:10">
      <c r="B10" s="2">
        <v>103</v>
      </c>
      <c r="C10" s="2"/>
      <c r="D10" s="2">
        <v>4</v>
      </c>
      <c r="E10" s="3">
        <v>9.6615053146280214</v>
      </c>
      <c r="F10" s="3">
        <f t="shared" si="0"/>
        <v>28.984515943884062</v>
      </c>
      <c r="G10" s="3"/>
      <c r="H10" s="2">
        <v>7</v>
      </c>
      <c r="I10" s="2"/>
      <c r="J10" s="6"/>
    </row>
    <row r="11" spans="2:10">
      <c r="B11" s="2">
        <v>104</v>
      </c>
      <c r="C11" s="2"/>
      <c r="D11" s="2">
        <v>22</v>
      </c>
      <c r="E11" s="3">
        <v>7.1428555517562238</v>
      </c>
      <c r="F11" s="3">
        <f t="shared" si="0"/>
        <v>21.428566655268671</v>
      </c>
      <c r="G11" s="3"/>
      <c r="H11" s="2">
        <v>2</v>
      </c>
      <c r="I11" s="2"/>
      <c r="J11" s="6"/>
    </row>
    <row r="12" spans="2:10">
      <c r="B12" s="2">
        <v>105</v>
      </c>
      <c r="C12" s="2"/>
      <c r="D12" s="2">
        <v>7</v>
      </c>
      <c r="E12" s="3">
        <v>3.7669670588735187</v>
      </c>
      <c r="F12" s="3">
        <f t="shared" si="0"/>
        <v>11.300901176620556</v>
      </c>
      <c r="G12" s="3"/>
      <c r="H12" s="2">
        <v>3</v>
      </c>
      <c r="I12" s="2"/>
      <c r="J12" s="6"/>
    </row>
    <row r="13" spans="2:10">
      <c r="B13" s="2">
        <v>106</v>
      </c>
      <c r="C13" s="2"/>
      <c r="D13" s="2">
        <v>19</v>
      </c>
      <c r="E13" s="3">
        <v>7.5821485560321005</v>
      </c>
      <c r="F13" s="3">
        <f t="shared" si="0"/>
        <v>22.7464456680963</v>
      </c>
      <c r="G13" s="3"/>
      <c r="H13" s="2">
        <v>5</v>
      </c>
      <c r="I13" s="2"/>
      <c r="J13" s="6"/>
    </row>
    <row r="14" spans="2:10">
      <c r="B14" s="2">
        <v>108</v>
      </c>
      <c r="C14" s="2"/>
      <c r="D14" s="2">
        <v>21</v>
      </c>
      <c r="E14" s="3">
        <v>7.3073497384215322</v>
      </c>
      <c r="F14" s="3">
        <f t="shared" si="0"/>
        <v>21.922049215264597</v>
      </c>
      <c r="G14" s="3"/>
      <c r="H14" s="2">
        <v>8</v>
      </c>
      <c r="I14" s="2"/>
      <c r="J14" s="6"/>
    </row>
    <row r="15" spans="2:10">
      <c r="B15" s="2">
        <v>109</v>
      </c>
      <c r="C15" s="2"/>
      <c r="D15" s="2">
        <v>24</v>
      </c>
      <c r="E15" s="3">
        <v>6.1967947656993907</v>
      </c>
      <c r="F15" s="3">
        <f t="shared" si="0"/>
        <v>18.590384297098172</v>
      </c>
      <c r="G15" s="3"/>
      <c r="H15" s="2">
        <v>4</v>
      </c>
      <c r="I15" s="2"/>
      <c r="J15" s="6"/>
    </row>
    <row r="16" spans="2:10">
      <c r="B16" s="2">
        <v>110</v>
      </c>
      <c r="C16" s="2"/>
      <c r="D16" s="2">
        <v>5</v>
      </c>
      <c r="E16" s="3">
        <v>1.5677051405247546</v>
      </c>
      <c r="F16" s="3">
        <f t="shared" si="0"/>
        <v>4.7031154215742639</v>
      </c>
      <c r="G16" s="3"/>
      <c r="H16" s="2">
        <v>8</v>
      </c>
      <c r="I16" s="2"/>
      <c r="J16" s="6"/>
    </row>
    <row r="17" spans="2:10">
      <c r="B17" s="2">
        <v>111</v>
      </c>
      <c r="C17" s="2"/>
      <c r="D17" s="2">
        <v>5</v>
      </c>
      <c r="E17" s="3">
        <v>3.5378489709328811</v>
      </c>
      <c r="F17" s="3">
        <f t="shared" si="0"/>
        <v>10.613546912798643</v>
      </c>
      <c r="G17" s="3"/>
      <c r="H17" s="2">
        <v>2</v>
      </c>
      <c r="I17" s="2"/>
      <c r="J17" s="6"/>
    </row>
    <row r="18" spans="2:10">
      <c r="B18" s="2">
        <v>112</v>
      </c>
      <c r="C18" s="2"/>
      <c r="D18" s="2">
        <v>5</v>
      </c>
      <c r="E18" s="3">
        <v>7.9822216400338739</v>
      </c>
      <c r="F18" s="3">
        <f t="shared" si="0"/>
        <v>23.946664920101622</v>
      </c>
      <c r="G18" s="3"/>
      <c r="H18" s="2">
        <v>8</v>
      </c>
      <c r="I18" s="2"/>
      <c r="J18" s="6"/>
    </row>
    <row r="19" spans="2:10">
      <c r="B19" s="2">
        <v>113</v>
      </c>
      <c r="C19" s="2"/>
      <c r="D19" s="2">
        <v>8</v>
      </c>
      <c r="E19" s="3">
        <v>2.1895287319506238</v>
      </c>
      <c r="F19" s="3">
        <f t="shared" si="0"/>
        <v>6.5685861958518714</v>
      </c>
      <c r="G19" s="3"/>
      <c r="H19" s="2">
        <v>7</v>
      </c>
      <c r="I19" s="2"/>
      <c r="J19" s="6"/>
    </row>
    <row r="20" spans="2:10">
      <c r="B20" s="2">
        <v>116</v>
      </c>
      <c r="C20" s="2"/>
      <c r="D20" s="2">
        <v>11</v>
      </c>
      <c r="E20" s="3">
        <v>5.0442445285182647</v>
      </c>
      <c r="F20" s="3">
        <f t="shared" si="0"/>
        <v>15.132733585554794</v>
      </c>
      <c r="G20" s="3"/>
      <c r="H20" s="2">
        <v>2</v>
      </c>
      <c r="I20" s="2"/>
      <c r="J20" s="6"/>
    </row>
    <row r="29" spans="2:10">
      <c r="F29" s="3"/>
    </row>
    <row r="30" spans="2:10">
      <c r="F30" s="3"/>
    </row>
    <row r="31" spans="2:10">
      <c r="F31" s="3"/>
    </row>
    <row r="32" spans="2:10">
      <c r="F3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0F16-6C46-674E-89BA-5D2A5E60E662}">
  <dimension ref="B2:J24"/>
  <sheetViews>
    <sheetView zoomScale="115" zoomScaleNormal="115" workbookViewId="0">
      <selection activeCell="G4" sqref="G4"/>
    </sheetView>
  </sheetViews>
  <sheetFormatPr defaultColWidth="11.109375" defaultRowHeight="15"/>
  <cols>
    <col min="1" max="1" width="4.44140625" customWidth="1"/>
    <col min="2" max="2" width="6.33203125" customWidth="1"/>
    <col min="3" max="3" width="9.109375" customWidth="1"/>
    <col min="4" max="4" width="12" bestFit="1" customWidth="1"/>
    <col min="6" max="6" width="10.109375" bestFit="1" customWidth="1"/>
    <col min="7" max="7" width="10.33203125" customWidth="1"/>
    <col min="8" max="8" width="14.109375" customWidth="1"/>
    <col min="9" max="9" width="13.77734375" customWidth="1"/>
    <col min="10" max="10" width="9" customWidth="1"/>
  </cols>
  <sheetData>
    <row r="2" spans="2:10" ht="20.25">
      <c r="B2" s="17" t="s">
        <v>7</v>
      </c>
      <c r="C2" s="1"/>
      <c r="D2" s="1"/>
      <c r="E2" s="1"/>
      <c r="F2" s="1"/>
      <c r="G2" s="1"/>
      <c r="H2" s="1"/>
      <c r="I2" s="1"/>
      <c r="J2" s="1"/>
    </row>
    <row r="4" spans="2:10" ht="47.25">
      <c r="B4" s="10" t="s">
        <v>36</v>
      </c>
      <c r="C4" s="10" t="s">
        <v>16</v>
      </c>
      <c r="D4" s="10" t="s">
        <v>0</v>
      </c>
      <c r="E4" s="10" t="s">
        <v>2</v>
      </c>
      <c r="F4" s="11" t="s">
        <v>17</v>
      </c>
      <c r="G4" s="11" t="s">
        <v>98</v>
      </c>
      <c r="H4" s="10" t="s">
        <v>5</v>
      </c>
      <c r="I4" s="10" t="s">
        <v>6</v>
      </c>
      <c r="J4" s="10" t="s">
        <v>4</v>
      </c>
    </row>
    <row r="5" spans="2:10">
      <c r="B5" s="2">
        <v>101</v>
      </c>
      <c r="C5" t="s">
        <v>37</v>
      </c>
      <c r="D5" t="s">
        <v>57</v>
      </c>
      <c r="E5" t="s">
        <v>69</v>
      </c>
      <c r="F5" s="14">
        <v>7</v>
      </c>
      <c r="G5" s="2">
        <v>2</v>
      </c>
      <c r="H5" t="s">
        <v>18</v>
      </c>
      <c r="I5" s="13" t="s">
        <v>79</v>
      </c>
      <c r="J5" s="12" t="s">
        <v>27</v>
      </c>
    </row>
    <row r="6" spans="2:10">
      <c r="B6" s="2">
        <f>B5+1</f>
        <v>102</v>
      </c>
      <c r="C6" t="s">
        <v>38</v>
      </c>
      <c r="D6" t="s">
        <v>58</v>
      </c>
      <c r="E6" t="s">
        <v>70</v>
      </c>
      <c r="F6" s="14">
        <v>14</v>
      </c>
      <c r="G6" s="2">
        <v>3</v>
      </c>
      <c r="H6" t="s">
        <v>19</v>
      </c>
      <c r="I6" s="13" t="s">
        <v>80</v>
      </c>
      <c r="J6" s="12" t="s">
        <v>27</v>
      </c>
    </row>
    <row r="7" spans="2:10">
      <c r="B7" s="2">
        <f t="shared" ref="B7:B24" si="0">B6+1</f>
        <v>103</v>
      </c>
      <c r="C7" t="s">
        <v>39</v>
      </c>
      <c r="D7" t="s">
        <v>59</v>
      </c>
      <c r="E7" t="s">
        <v>71</v>
      </c>
      <c r="F7" s="14">
        <v>30</v>
      </c>
      <c r="G7" s="2">
        <v>4</v>
      </c>
      <c r="H7" t="s">
        <v>20</v>
      </c>
      <c r="I7" s="13" t="s">
        <v>81</v>
      </c>
      <c r="J7" s="12" t="s">
        <v>27</v>
      </c>
    </row>
    <row r="8" spans="2:10">
      <c r="B8" s="2">
        <f t="shared" si="0"/>
        <v>104</v>
      </c>
      <c r="C8" t="s">
        <v>40</v>
      </c>
      <c r="D8" t="s">
        <v>60</v>
      </c>
      <c r="E8" t="s">
        <v>72</v>
      </c>
      <c r="F8" s="14">
        <v>7</v>
      </c>
      <c r="G8" s="2">
        <v>1</v>
      </c>
      <c r="H8" t="s">
        <v>21</v>
      </c>
      <c r="I8" s="13" t="s">
        <v>82</v>
      </c>
      <c r="J8" s="12" t="s">
        <v>27</v>
      </c>
    </row>
    <row r="9" spans="2:10">
      <c r="B9" s="2">
        <f t="shared" si="0"/>
        <v>105</v>
      </c>
      <c r="C9" t="s">
        <v>41</v>
      </c>
      <c r="D9" t="s">
        <v>62</v>
      </c>
      <c r="E9" t="s">
        <v>69</v>
      </c>
      <c r="F9" s="14">
        <v>7</v>
      </c>
      <c r="G9" s="2">
        <v>2</v>
      </c>
      <c r="H9" t="s">
        <v>18</v>
      </c>
      <c r="I9" s="13" t="s">
        <v>79</v>
      </c>
      <c r="J9" s="12" t="s">
        <v>27</v>
      </c>
    </row>
    <row r="10" spans="2:10">
      <c r="B10" s="2">
        <f t="shared" si="0"/>
        <v>106</v>
      </c>
      <c r="C10" t="s">
        <v>42</v>
      </c>
      <c r="D10" t="s">
        <v>61</v>
      </c>
      <c r="E10" t="s">
        <v>69</v>
      </c>
      <c r="F10" s="14">
        <v>7</v>
      </c>
      <c r="G10" s="2">
        <v>2</v>
      </c>
      <c r="H10" t="s">
        <v>18</v>
      </c>
      <c r="I10" s="13" t="s">
        <v>79</v>
      </c>
      <c r="J10" s="12" t="s">
        <v>27</v>
      </c>
    </row>
    <row r="11" spans="2:10">
      <c r="B11" s="2">
        <f t="shared" si="0"/>
        <v>107</v>
      </c>
      <c r="C11" t="s">
        <v>43</v>
      </c>
      <c r="D11" t="s">
        <v>63</v>
      </c>
      <c r="E11" t="s">
        <v>69</v>
      </c>
      <c r="F11" s="14">
        <v>7</v>
      </c>
      <c r="G11" s="2">
        <v>2</v>
      </c>
      <c r="H11" t="s">
        <v>18</v>
      </c>
      <c r="I11" s="13" t="s">
        <v>79</v>
      </c>
      <c r="J11" s="12" t="s">
        <v>27</v>
      </c>
    </row>
    <row r="12" spans="2:10">
      <c r="B12" s="2">
        <f t="shared" si="0"/>
        <v>108</v>
      </c>
      <c r="C12" t="s">
        <v>44</v>
      </c>
      <c r="D12" t="s">
        <v>64</v>
      </c>
      <c r="E12" t="s">
        <v>71</v>
      </c>
      <c r="F12" s="14">
        <v>30</v>
      </c>
      <c r="G12" s="2">
        <v>4</v>
      </c>
      <c r="H12" t="s">
        <v>20</v>
      </c>
      <c r="I12" s="13" t="s">
        <v>81</v>
      </c>
      <c r="J12" s="12" t="s">
        <v>27</v>
      </c>
    </row>
    <row r="13" spans="2:10">
      <c r="B13" s="2">
        <f t="shared" si="0"/>
        <v>109</v>
      </c>
      <c r="C13" t="s">
        <v>45</v>
      </c>
      <c r="D13" t="s">
        <v>61</v>
      </c>
      <c r="E13" t="s">
        <v>71</v>
      </c>
      <c r="F13" s="14">
        <v>30</v>
      </c>
      <c r="G13" s="2">
        <v>4</v>
      </c>
      <c r="H13" t="s">
        <v>20</v>
      </c>
      <c r="I13" s="13" t="s">
        <v>81</v>
      </c>
      <c r="J13" s="12" t="s">
        <v>27</v>
      </c>
    </row>
    <row r="14" spans="2:10">
      <c r="B14" s="2">
        <f t="shared" si="0"/>
        <v>110</v>
      </c>
      <c r="C14" t="s">
        <v>46</v>
      </c>
      <c r="D14" t="s">
        <v>65</v>
      </c>
      <c r="E14" t="s">
        <v>71</v>
      </c>
      <c r="F14" s="14">
        <v>30</v>
      </c>
      <c r="G14" s="2">
        <v>4</v>
      </c>
      <c r="H14" t="s">
        <v>20</v>
      </c>
      <c r="I14" s="13" t="s">
        <v>81</v>
      </c>
      <c r="J14" s="12" t="s">
        <v>27</v>
      </c>
    </row>
    <row r="15" spans="2:10">
      <c r="B15" s="2">
        <f t="shared" si="0"/>
        <v>111</v>
      </c>
      <c r="C15" t="s">
        <v>47</v>
      </c>
      <c r="D15" t="s">
        <v>66</v>
      </c>
      <c r="E15" t="s">
        <v>73</v>
      </c>
      <c r="F15" s="14">
        <v>7</v>
      </c>
      <c r="G15" s="2">
        <v>1</v>
      </c>
      <c r="H15" t="s">
        <v>22</v>
      </c>
      <c r="I15" s="13" t="s">
        <v>83</v>
      </c>
      <c r="J15" s="12" t="s">
        <v>27</v>
      </c>
    </row>
    <row r="16" spans="2:10">
      <c r="B16" s="2">
        <f t="shared" si="0"/>
        <v>112</v>
      </c>
      <c r="C16" t="s">
        <v>48</v>
      </c>
      <c r="D16" t="s">
        <v>67</v>
      </c>
      <c r="E16" t="s">
        <v>74</v>
      </c>
      <c r="F16" s="14">
        <v>60</v>
      </c>
      <c r="G16" s="2">
        <v>4</v>
      </c>
      <c r="H16" t="s">
        <v>23</v>
      </c>
      <c r="I16" s="13" t="s">
        <v>84</v>
      </c>
      <c r="J16" s="12" t="s">
        <v>27</v>
      </c>
    </row>
    <row r="17" spans="2:10">
      <c r="B17" s="2">
        <f t="shared" si="0"/>
        <v>113</v>
      </c>
      <c r="C17" t="s">
        <v>49</v>
      </c>
      <c r="D17" t="s">
        <v>59</v>
      </c>
      <c r="E17" t="s">
        <v>75</v>
      </c>
      <c r="F17" s="14">
        <v>5</v>
      </c>
      <c r="G17" s="2">
        <v>4</v>
      </c>
      <c r="H17" t="s">
        <v>24</v>
      </c>
      <c r="I17" s="13" t="s">
        <v>85</v>
      </c>
      <c r="J17" s="12" t="s">
        <v>27</v>
      </c>
    </row>
    <row r="18" spans="2:10">
      <c r="B18" s="2">
        <f t="shared" si="0"/>
        <v>114</v>
      </c>
      <c r="C18" t="s">
        <v>50</v>
      </c>
      <c r="D18" t="s">
        <v>58</v>
      </c>
      <c r="E18" t="s">
        <v>74</v>
      </c>
      <c r="F18" s="14">
        <v>60</v>
      </c>
      <c r="G18" s="2">
        <v>4</v>
      </c>
      <c r="H18" t="s">
        <v>23</v>
      </c>
      <c r="I18" s="13" t="s">
        <v>84</v>
      </c>
      <c r="J18" s="12" t="s">
        <v>27</v>
      </c>
    </row>
    <row r="19" spans="2:10">
      <c r="B19" s="2">
        <f t="shared" si="0"/>
        <v>115</v>
      </c>
      <c r="C19" t="s">
        <v>51</v>
      </c>
      <c r="D19" t="s">
        <v>61</v>
      </c>
      <c r="E19" t="s">
        <v>74</v>
      </c>
      <c r="F19" s="14">
        <v>60</v>
      </c>
      <c r="G19" s="2">
        <v>4</v>
      </c>
      <c r="H19" t="s">
        <v>23</v>
      </c>
      <c r="I19" s="13" t="s">
        <v>84</v>
      </c>
      <c r="J19" s="12" t="s">
        <v>27</v>
      </c>
    </row>
    <row r="20" spans="2:10">
      <c r="B20" s="2">
        <f t="shared" si="0"/>
        <v>116</v>
      </c>
      <c r="C20" t="s">
        <v>52</v>
      </c>
      <c r="D20" t="s">
        <v>67</v>
      </c>
      <c r="E20" t="s">
        <v>74</v>
      </c>
      <c r="F20" s="14">
        <v>60</v>
      </c>
      <c r="G20" s="2">
        <v>4</v>
      </c>
      <c r="H20" t="s">
        <v>23</v>
      </c>
      <c r="I20" s="13" t="s">
        <v>84</v>
      </c>
      <c r="J20" s="12" t="s">
        <v>27</v>
      </c>
    </row>
    <row r="21" spans="2:10">
      <c r="B21" s="2">
        <f t="shared" si="0"/>
        <v>117</v>
      </c>
      <c r="C21" t="s">
        <v>53</v>
      </c>
      <c r="D21" t="s">
        <v>61</v>
      </c>
      <c r="E21" t="s">
        <v>74</v>
      </c>
      <c r="F21" s="14">
        <v>60</v>
      </c>
      <c r="G21" s="2">
        <v>4</v>
      </c>
      <c r="H21" t="s">
        <v>23</v>
      </c>
      <c r="I21" s="13" t="s">
        <v>84</v>
      </c>
      <c r="J21" s="12" t="s">
        <v>27</v>
      </c>
    </row>
    <row r="22" spans="2:10">
      <c r="B22" s="2">
        <f t="shared" si="0"/>
        <v>118</v>
      </c>
      <c r="C22" t="s">
        <v>54</v>
      </c>
      <c r="D22" t="s">
        <v>59</v>
      </c>
      <c r="E22" t="s">
        <v>76</v>
      </c>
      <c r="F22" s="14">
        <v>30</v>
      </c>
      <c r="G22" s="2">
        <v>4</v>
      </c>
      <c r="H22" t="s">
        <v>26</v>
      </c>
      <c r="I22" s="13" t="s">
        <v>86</v>
      </c>
      <c r="J22" s="12" t="s">
        <v>27</v>
      </c>
    </row>
    <row r="23" spans="2:10">
      <c r="B23" s="2">
        <f t="shared" si="0"/>
        <v>119</v>
      </c>
      <c r="C23" t="s">
        <v>55</v>
      </c>
      <c r="D23" t="s">
        <v>61</v>
      </c>
      <c r="E23" t="s">
        <v>77</v>
      </c>
      <c r="F23" s="14">
        <v>60</v>
      </c>
      <c r="G23" s="2">
        <v>2</v>
      </c>
      <c r="H23" t="s">
        <v>25</v>
      </c>
      <c r="I23" s="13" t="s">
        <v>87</v>
      </c>
      <c r="J23" s="12" t="s">
        <v>27</v>
      </c>
    </row>
    <row r="24" spans="2:10">
      <c r="B24" s="2">
        <f t="shared" si="0"/>
        <v>120</v>
      </c>
      <c r="C24" t="s">
        <v>56</v>
      </c>
      <c r="D24" t="s">
        <v>68</v>
      </c>
      <c r="E24" t="s">
        <v>78</v>
      </c>
      <c r="F24" s="14">
        <v>60</v>
      </c>
      <c r="G24" s="2">
        <v>4</v>
      </c>
      <c r="H24" t="s">
        <v>26</v>
      </c>
      <c r="I24" s="13" t="s">
        <v>86</v>
      </c>
      <c r="J24" s="12" t="s">
        <v>27</v>
      </c>
    </row>
  </sheetData>
  <hyperlinks>
    <hyperlink ref="I5" r:id="rId1" xr:uid="{3BFF100D-5F26-3A40-BA6B-32906D0AB0C2}"/>
    <hyperlink ref="I6" r:id="rId2" xr:uid="{DAEC3547-A625-E141-9E05-E08210726355}"/>
    <hyperlink ref="I7" r:id="rId3" xr:uid="{7CD3C45A-B007-F34A-9D2B-9BF6E49698E1}"/>
    <hyperlink ref="I8" r:id="rId4" xr:uid="{CDBF5EF3-61AB-4F41-AB2E-458A0C776AC6}"/>
    <hyperlink ref="I9" r:id="rId5" xr:uid="{85442B39-6DEA-AA46-BA99-D65AA8C7CC9E}"/>
    <hyperlink ref="I10" r:id="rId6" xr:uid="{EE1067CB-3D1A-2D44-A50D-EB936EAF84CE}"/>
    <hyperlink ref="I11" r:id="rId7" xr:uid="{38123834-18FA-4B4C-983F-0AF8411856E7}"/>
    <hyperlink ref="I12" r:id="rId8" xr:uid="{F644D934-049D-DD45-B9D6-0326EB2A1399}"/>
    <hyperlink ref="I13" r:id="rId9" xr:uid="{B19601FC-7FAF-574D-8972-38D366AC531D}"/>
    <hyperlink ref="I14" r:id="rId10" xr:uid="{2BC32264-3AFA-C643-99D9-61411A191E3C}"/>
    <hyperlink ref="I15" r:id="rId11" xr:uid="{1F8B5EA1-841C-5341-9B9D-68383A21FF61}"/>
    <hyperlink ref="I16" r:id="rId12" xr:uid="{CCD91297-9CA0-F04F-BA45-FBB83CC6C9BC}"/>
    <hyperlink ref="I17" r:id="rId13" xr:uid="{D557152C-8568-8543-B2D3-EBBE66BFC6EB}"/>
    <hyperlink ref="I18" r:id="rId14" xr:uid="{AFBF0F02-0E1C-DB47-8734-77585256700C}"/>
    <hyperlink ref="I19" r:id="rId15" xr:uid="{0B086BE2-05B1-894C-BEA9-AF83922BB7C2}"/>
    <hyperlink ref="I20" r:id="rId16" xr:uid="{7DDFDBD9-3CDF-B948-8508-C335182A8D74}"/>
    <hyperlink ref="I21" r:id="rId17" xr:uid="{08398281-FD76-0040-8D7F-136D440A6335}"/>
    <hyperlink ref="I22" r:id="rId18" xr:uid="{2A2D4036-5CC2-8542-BBD4-1A36326FEB45}"/>
    <hyperlink ref="I23" r:id="rId19" xr:uid="{ABC2AC51-CF52-2F45-987F-6B1F6C310DE1}"/>
    <hyperlink ref="I24" r:id="rId20" xr:uid="{A85332C4-7871-444D-9170-246B18C24AE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6AC4-9043-1147-98FB-218254C56D0A}">
  <dimension ref="B2:G10"/>
  <sheetViews>
    <sheetView zoomScale="115" zoomScaleNormal="115" workbookViewId="0">
      <selection activeCell="B1" sqref="B1"/>
    </sheetView>
  </sheetViews>
  <sheetFormatPr defaultColWidth="11.109375" defaultRowHeight="15"/>
  <cols>
    <col min="1" max="1" width="4.44140625" customWidth="1"/>
    <col min="6" max="6" width="13.44140625" bestFit="1" customWidth="1"/>
    <col min="7" max="7" width="18.6640625" bestFit="1" customWidth="1"/>
  </cols>
  <sheetData>
    <row r="2" spans="2:7" ht="20.25">
      <c r="B2" s="17" t="s">
        <v>14</v>
      </c>
      <c r="C2" s="1"/>
      <c r="D2" s="1"/>
      <c r="E2" s="1"/>
      <c r="F2" s="1"/>
      <c r="G2" s="1"/>
    </row>
    <row r="4" spans="2:7" ht="15.75">
      <c r="B4" t="s">
        <v>13</v>
      </c>
      <c r="C4" s="7"/>
    </row>
    <row r="6" spans="2:7" ht="15.75">
      <c r="B6" s="9" t="s">
        <v>15</v>
      </c>
      <c r="C6" s="9" t="s">
        <v>16</v>
      </c>
      <c r="D6" s="9" t="s">
        <v>11</v>
      </c>
      <c r="E6" s="9" t="s">
        <v>12</v>
      </c>
      <c r="F6" s="9" t="s">
        <v>3</v>
      </c>
      <c r="G6" s="9" t="s">
        <v>35</v>
      </c>
    </row>
    <row r="7" spans="2:7">
      <c r="B7" s="2"/>
      <c r="C7" s="2"/>
      <c r="D7" s="2"/>
      <c r="E7" s="6"/>
    </row>
    <row r="8" spans="2:7">
      <c r="B8" s="2"/>
      <c r="C8" s="2"/>
      <c r="D8" s="2"/>
      <c r="E8" s="6"/>
    </row>
    <row r="9" spans="2:7">
      <c r="B9" s="2"/>
      <c r="C9" s="2"/>
      <c r="D9" s="2"/>
      <c r="E9" s="6"/>
    </row>
    <row r="10" spans="2:7">
      <c r="B10" s="2"/>
      <c r="C10" s="2"/>
      <c r="D10" s="2"/>
      <c r="E10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D053-848B-9446-B23E-295A7604213C}">
  <dimension ref="A1:K32"/>
  <sheetViews>
    <sheetView zoomScale="115" zoomScaleNormal="115" workbookViewId="0">
      <selection activeCell="C27" sqref="C27"/>
    </sheetView>
  </sheetViews>
  <sheetFormatPr defaultColWidth="11.109375" defaultRowHeight="15"/>
  <cols>
    <col min="1" max="1" width="20.77734375" style="8" customWidth="1"/>
    <col min="2" max="2" width="4" customWidth="1"/>
    <col min="3" max="3" width="14.33203125" customWidth="1"/>
    <col min="4" max="4" width="11.77734375" customWidth="1"/>
    <col min="5" max="5" width="10" bestFit="1" customWidth="1"/>
    <col min="6" max="6" width="11.33203125" bestFit="1" customWidth="1"/>
    <col min="7" max="7" width="12.109375" bestFit="1" customWidth="1"/>
    <col min="8" max="8" width="11.33203125" customWidth="1"/>
    <col min="9" max="9" width="9" bestFit="1" customWidth="1"/>
    <col min="11" max="11" width="13.109375" style="15" customWidth="1"/>
    <col min="12" max="12" width="13.109375" bestFit="1" customWidth="1"/>
  </cols>
  <sheetData>
    <row r="1" spans="3:11">
      <c r="K1"/>
    </row>
    <row r="2" spans="3:11" ht="20.25">
      <c r="C2" s="17" t="s">
        <v>8</v>
      </c>
      <c r="D2" s="1"/>
      <c r="E2" s="1"/>
      <c r="F2" s="1"/>
      <c r="G2" s="1"/>
      <c r="H2" s="1"/>
      <c r="I2" s="1"/>
      <c r="J2" s="1"/>
      <c r="K2" s="1"/>
    </row>
    <row r="3" spans="3:11">
      <c r="K3"/>
    </row>
    <row r="4" spans="3:11" ht="15.75">
      <c r="C4" t="s">
        <v>32</v>
      </c>
      <c r="D4" s="4">
        <f>SUM(Inventory[Total Value])</f>
        <v>2921.520604450383</v>
      </c>
      <c r="F4" t="s">
        <v>9</v>
      </c>
      <c r="G4" s="5">
        <f ca="1">TODAY()</f>
        <v>45775</v>
      </c>
      <c r="K4"/>
    </row>
    <row r="5" spans="3:11" ht="15.75">
      <c r="C5" t="s">
        <v>31</v>
      </c>
      <c r="D5" s="4">
        <f>COUNT(_xlfn.UNIQUE(Inventory[Product ID]))</f>
        <v>14</v>
      </c>
      <c r="F5" t="s">
        <v>10</v>
      </c>
      <c r="G5" s="4" t="str">
        <f ca="1">TEXT(G4,"dddd")</f>
        <v>Monday</v>
      </c>
      <c r="K5"/>
    </row>
    <row r="6" spans="3:11">
      <c r="K6"/>
    </row>
    <row r="7" spans="3:11" ht="33" customHeight="1">
      <c r="C7" s="10" t="s">
        <v>15</v>
      </c>
      <c r="D7" s="10" t="s">
        <v>16</v>
      </c>
      <c r="E7" s="11" t="s">
        <v>29</v>
      </c>
      <c r="F7" s="11" t="s">
        <v>88</v>
      </c>
      <c r="G7" s="11" t="s">
        <v>34</v>
      </c>
      <c r="H7" s="10" t="s">
        <v>28</v>
      </c>
      <c r="I7" s="11" t="s">
        <v>30</v>
      </c>
      <c r="J7" s="10" t="s">
        <v>1</v>
      </c>
      <c r="K7" s="10" t="s">
        <v>33</v>
      </c>
    </row>
    <row r="8" spans="3:11">
      <c r="C8" s="2">
        <v>101</v>
      </c>
      <c r="D8" s="2" t="str">
        <f>_xlfn.XLOOKUP(Inventory[[#This Row],[Product ID]],Vendor[ID],Vendor[Product])</f>
        <v>Fading Light</v>
      </c>
      <c r="E8" s="2">
        <v>3</v>
      </c>
      <c r="F8" s="3">
        <v>6.5357631098462861</v>
      </c>
      <c r="G8" s="3">
        <f>F8*3</f>
        <v>19.607289329538858</v>
      </c>
      <c r="H8" s="3">
        <f>Inventory[[#This Row],[Sale Price 
per Unit]]*Inventory[[#This Row],[Quantity in 
Stock]]</f>
        <v>58.821867988616575</v>
      </c>
      <c r="I8" s="2">
        <v>4</v>
      </c>
      <c r="J8" s="2" t="str">
        <f>IF(Inventory[[#This Row],[Quantity in 
Stock]]&lt;=Inventory[[#This Row],[Reorder
Threshold]],"Yes","No")</f>
        <v>Yes</v>
      </c>
      <c r="K8" s="16">
        <f ca="1">IF(Inventory[[#This Row],[Reorder?]]="Yes",'Inventory Complete'!$G$4+_xlfn.XLOOKUP(Inventory[[#This Row],[Product ID]],Vendor[ID],Vendor[Typical 
Order Time]),"")</f>
        <v>45782</v>
      </c>
    </row>
    <row r="9" spans="3:11">
      <c r="C9" s="2">
        <v>102</v>
      </c>
      <c r="D9" s="2" t="str">
        <f>_xlfn.XLOOKUP(Inventory[[#This Row],[Product ID]],Vendor[ID],Vendor[Product])</f>
        <v>Silent Echo</v>
      </c>
      <c r="E9" s="2">
        <v>12</v>
      </c>
      <c r="F9" s="3">
        <v>8.1162716224706184</v>
      </c>
      <c r="G9" s="3">
        <f t="shared" ref="G9:G20" si="0">F9*3</f>
        <v>24.348814867411853</v>
      </c>
      <c r="H9" s="3">
        <f>Inventory[[#This Row],[Sale Price 
per Unit]]*Inventory[[#This Row],[Quantity in 
Stock]]</f>
        <v>292.18577840894227</v>
      </c>
      <c r="I9" s="2">
        <v>6</v>
      </c>
      <c r="J9" s="2" t="str">
        <f>IF(Inventory[[#This Row],[Quantity in 
Stock]]&lt;=Inventory[[#This Row],[Reorder
Threshold]],"Yes","No")</f>
        <v>No</v>
      </c>
      <c r="K9" s="16" t="str">
        <f>IF(Inventory[[#This Row],[Reorder?]]="Yes",'Inventory Complete'!$G$4+_xlfn.XLOOKUP(Inventory[[#This Row],[Product ID]],Vendor[ID],Vendor[Typical 
Order Time]),"")</f>
        <v/>
      </c>
    </row>
    <row r="10" spans="3:11">
      <c r="C10" s="2">
        <v>103</v>
      </c>
      <c r="D10" s="2" t="str">
        <f>_xlfn.XLOOKUP(Inventory[[#This Row],[Product ID]],Vendor[ID],Vendor[Product])</f>
        <v>Iron Sky</v>
      </c>
      <c r="E10" s="2">
        <v>4</v>
      </c>
      <c r="F10" s="3">
        <v>9.6615053146280214</v>
      </c>
      <c r="G10" s="3">
        <f t="shared" si="0"/>
        <v>28.984515943884062</v>
      </c>
      <c r="H10" s="3">
        <f>Inventory[[#This Row],[Sale Price 
per Unit]]*Inventory[[#This Row],[Quantity in 
Stock]]</f>
        <v>115.93806377553625</v>
      </c>
      <c r="I10" s="2">
        <v>7</v>
      </c>
      <c r="J10" s="2" t="str">
        <f>IF(Inventory[[#This Row],[Quantity in 
Stock]]&lt;=Inventory[[#This Row],[Reorder
Threshold]],"Yes","No")</f>
        <v>Yes</v>
      </c>
      <c r="K10" s="16">
        <f ca="1">IF(Inventory[[#This Row],[Reorder?]]="Yes",'Inventory Complete'!$G$4+_xlfn.XLOOKUP(Inventory[[#This Row],[Product ID]],Vendor[ID],Vendor[Typical 
Order Time]),"")</f>
        <v>45805</v>
      </c>
    </row>
    <row r="11" spans="3:11">
      <c r="C11" s="2">
        <v>104</v>
      </c>
      <c r="D11" s="2" t="str">
        <f>_xlfn.XLOOKUP(Inventory[[#This Row],[Product ID]],Vendor[ID],Vendor[Product])</f>
        <v>Wanderlust</v>
      </c>
      <c r="E11" s="2">
        <v>22</v>
      </c>
      <c r="F11" s="3">
        <v>7.1428555517562238</v>
      </c>
      <c r="G11" s="3">
        <f t="shared" si="0"/>
        <v>21.428566655268671</v>
      </c>
      <c r="H11" s="3">
        <f>Inventory[[#This Row],[Sale Price 
per Unit]]*Inventory[[#This Row],[Quantity in 
Stock]]</f>
        <v>471.42846641591075</v>
      </c>
      <c r="I11" s="2">
        <v>2</v>
      </c>
      <c r="J11" s="2" t="str">
        <f>IF(Inventory[[#This Row],[Quantity in 
Stock]]&lt;=Inventory[[#This Row],[Reorder
Threshold]],"Yes","No")</f>
        <v>No</v>
      </c>
      <c r="K11" s="16" t="str">
        <f>IF(Inventory[[#This Row],[Reorder?]]="Yes",'Inventory Complete'!$G$4+_xlfn.XLOOKUP(Inventory[[#This Row],[Product ID]],Vendor[ID],Vendor[Typical 
Order Time]),"")</f>
        <v/>
      </c>
    </row>
    <row r="12" spans="3:11">
      <c r="C12" s="2">
        <v>105</v>
      </c>
      <c r="D12" s="2" t="str">
        <f>_xlfn.XLOOKUP(Inventory[[#This Row],[Product ID]],Vendor[ID],Vendor[Product])</f>
        <v>Lost Horizon</v>
      </c>
      <c r="E12" s="2">
        <v>7</v>
      </c>
      <c r="F12" s="3">
        <v>3.7669670588735187</v>
      </c>
      <c r="G12" s="3">
        <f t="shared" si="0"/>
        <v>11.300901176620556</v>
      </c>
      <c r="H12" s="3">
        <f>Inventory[[#This Row],[Sale Price 
per Unit]]*Inventory[[#This Row],[Quantity in 
Stock]]</f>
        <v>79.106308236343892</v>
      </c>
      <c r="I12" s="2">
        <v>3</v>
      </c>
      <c r="J12" s="2" t="str">
        <f>IF(Inventory[[#This Row],[Quantity in 
Stock]]&lt;=Inventory[[#This Row],[Reorder
Threshold]],"Yes","No")</f>
        <v>No</v>
      </c>
      <c r="K12" s="16" t="str">
        <f>IF(Inventory[[#This Row],[Reorder?]]="Yes",'Inventory Complete'!$G$4+_xlfn.XLOOKUP(Inventory[[#This Row],[Product ID]],Vendor[ID],Vendor[Typical 
Order Time]),"")</f>
        <v/>
      </c>
    </row>
    <row r="13" spans="3:11">
      <c r="C13" s="2">
        <v>106</v>
      </c>
      <c r="D13" s="2" t="str">
        <f>_xlfn.XLOOKUP(Inventory[[#This Row],[Product ID]],Vendor[ID],Vendor[Product])</f>
        <v>Silver Veil</v>
      </c>
      <c r="E13" s="2">
        <v>19</v>
      </c>
      <c r="F13" s="3">
        <v>7.5821485560321005</v>
      </c>
      <c r="G13" s="3">
        <f t="shared" si="0"/>
        <v>22.7464456680963</v>
      </c>
      <c r="H13" s="3">
        <f>Inventory[[#This Row],[Sale Price 
per Unit]]*Inventory[[#This Row],[Quantity in 
Stock]]</f>
        <v>432.18246769382972</v>
      </c>
      <c r="I13" s="2">
        <v>5</v>
      </c>
      <c r="J13" s="2" t="str">
        <f>IF(Inventory[[#This Row],[Quantity in 
Stock]]&lt;=Inventory[[#This Row],[Reorder
Threshold]],"Yes","No")</f>
        <v>No</v>
      </c>
      <c r="K13" s="16" t="str">
        <f>IF(Inventory[[#This Row],[Reorder?]]="Yes",'Inventory Complete'!$G$4+_xlfn.XLOOKUP(Inventory[[#This Row],[Product ID]],Vendor[ID],Vendor[Typical 
Order Time]),"")</f>
        <v/>
      </c>
    </row>
    <row r="14" spans="3:11">
      <c r="C14" s="2">
        <v>108</v>
      </c>
      <c r="D14" s="2" t="str">
        <f>_xlfn.XLOOKUP(Inventory[[#This Row],[Product ID]],Vendor[ID],Vendor[Product])</f>
        <v>The Hollow</v>
      </c>
      <c r="E14" s="2">
        <v>21</v>
      </c>
      <c r="F14" s="3">
        <v>7.3073497384215322</v>
      </c>
      <c r="G14" s="3">
        <f t="shared" si="0"/>
        <v>21.922049215264597</v>
      </c>
      <c r="H14" s="3">
        <f>Inventory[[#This Row],[Sale Price 
per Unit]]*Inventory[[#This Row],[Quantity in 
Stock]]</f>
        <v>460.36303352055654</v>
      </c>
      <c r="I14" s="2">
        <v>8</v>
      </c>
      <c r="J14" s="2" t="str">
        <f>IF(Inventory[[#This Row],[Quantity in 
Stock]]&lt;=Inventory[[#This Row],[Reorder
Threshold]],"Yes","No")</f>
        <v>No</v>
      </c>
      <c r="K14" s="16" t="str">
        <f>IF(Inventory[[#This Row],[Reorder?]]="Yes",'Inventory Complete'!$G$4+_xlfn.XLOOKUP(Inventory[[#This Row],[Product ID]],Vendor[ID],Vendor[Typical 
Order Time]),"")</f>
        <v/>
      </c>
    </row>
    <row r="15" spans="3:11">
      <c r="C15" s="2">
        <v>109</v>
      </c>
      <c r="D15" s="2" t="str">
        <f>_xlfn.XLOOKUP(Inventory[[#This Row],[Product ID]],Vendor[ID],Vendor[Product])</f>
        <v>Broker</v>
      </c>
      <c r="E15" s="2">
        <v>24</v>
      </c>
      <c r="F15" s="3">
        <v>6.1967947656993907</v>
      </c>
      <c r="G15" s="3">
        <f t="shared" si="0"/>
        <v>18.590384297098172</v>
      </c>
      <c r="H15" s="3">
        <f>Inventory[[#This Row],[Sale Price 
per Unit]]*Inventory[[#This Row],[Quantity in 
Stock]]</f>
        <v>446.16922313035616</v>
      </c>
      <c r="I15" s="2">
        <v>4</v>
      </c>
      <c r="J15" s="2" t="str">
        <f>IF(Inventory[[#This Row],[Quantity in 
Stock]]&lt;=Inventory[[#This Row],[Reorder
Threshold]],"Yes","No")</f>
        <v>No</v>
      </c>
      <c r="K15" s="16" t="str">
        <f>IF(Inventory[[#This Row],[Reorder?]]="Yes",'Inventory Complete'!$G$4+_xlfn.XLOOKUP(Inventory[[#This Row],[Product ID]],Vendor[ID],Vendor[Typical 
Order Time]),"")</f>
        <v/>
      </c>
    </row>
    <row r="16" spans="3:11">
      <c r="C16" s="2">
        <v>110</v>
      </c>
      <c r="D16" s="2" t="str">
        <f>_xlfn.XLOOKUP(Inventory[[#This Row],[Product ID]],Vendor[ID],Vendor[Product])</f>
        <v>Frostfire</v>
      </c>
      <c r="E16" s="2">
        <v>5</v>
      </c>
      <c r="F16" s="3">
        <v>1.5677051405247546</v>
      </c>
      <c r="G16" s="3">
        <f t="shared" si="0"/>
        <v>4.7031154215742639</v>
      </c>
      <c r="H16" s="3">
        <f>Inventory[[#This Row],[Sale Price 
per Unit]]*Inventory[[#This Row],[Quantity in 
Stock]]</f>
        <v>23.515577107871319</v>
      </c>
      <c r="I16" s="2">
        <v>8</v>
      </c>
      <c r="J16" s="2" t="str">
        <f>IF(Inventory[[#This Row],[Quantity in 
Stock]]&lt;=Inventory[[#This Row],[Reorder
Threshold]],"Yes","No")</f>
        <v>Yes</v>
      </c>
      <c r="K16" s="16">
        <f ca="1">IF(Inventory[[#This Row],[Reorder?]]="Yes",'Inventory Complete'!$G$4+_xlfn.XLOOKUP(Inventory[[#This Row],[Product ID]],Vendor[ID],Vendor[Typical 
Order Time]),"")</f>
        <v>45805</v>
      </c>
    </row>
    <row r="17" spans="3:11">
      <c r="C17" s="2">
        <v>111</v>
      </c>
      <c r="D17" s="2" t="str">
        <f>_xlfn.XLOOKUP(Inventory[[#This Row],[Product ID]],Vendor[ID],Vendor[Product])</f>
        <v>The Tide</v>
      </c>
      <c r="E17" s="2">
        <v>5</v>
      </c>
      <c r="F17" s="3">
        <v>3.5378489709328811</v>
      </c>
      <c r="G17" s="3">
        <f t="shared" si="0"/>
        <v>10.613546912798643</v>
      </c>
      <c r="H17" s="3">
        <f>Inventory[[#This Row],[Sale Price 
per Unit]]*Inventory[[#This Row],[Quantity in 
Stock]]</f>
        <v>53.067734563993213</v>
      </c>
      <c r="I17" s="2">
        <v>2</v>
      </c>
      <c r="J17" s="2" t="str">
        <f>IF(Inventory[[#This Row],[Quantity in 
Stock]]&lt;=Inventory[[#This Row],[Reorder
Threshold]],"Yes","No")</f>
        <v>No</v>
      </c>
      <c r="K17" s="16" t="str">
        <f>IF(Inventory[[#This Row],[Reorder?]]="Yes",'Inventory Complete'!$G$4+_xlfn.XLOOKUP(Inventory[[#This Row],[Product ID]],Vendor[ID],Vendor[Typical 
Order Time]),"")</f>
        <v/>
      </c>
    </row>
    <row r="18" spans="3:11">
      <c r="C18" s="2">
        <v>112</v>
      </c>
      <c r="D18" s="2" t="str">
        <f>_xlfn.XLOOKUP(Inventory[[#This Row],[Product ID]],Vendor[ID],Vendor[Product])</f>
        <v>Crimson</v>
      </c>
      <c r="E18" s="2">
        <v>5</v>
      </c>
      <c r="F18" s="3">
        <v>7.9822216400338739</v>
      </c>
      <c r="G18" s="3">
        <f t="shared" si="0"/>
        <v>23.946664920101622</v>
      </c>
      <c r="H18" s="3">
        <f>Inventory[[#This Row],[Sale Price 
per Unit]]*Inventory[[#This Row],[Quantity in 
Stock]]</f>
        <v>119.73332460050811</v>
      </c>
      <c r="I18" s="2">
        <v>8</v>
      </c>
      <c r="J18" s="2" t="str">
        <f>IF(Inventory[[#This Row],[Quantity in 
Stock]]&lt;=Inventory[[#This Row],[Reorder
Threshold]],"Yes","No")</f>
        <v>Yes</v>
      </c>
      <c r="K18" s="16">
        <f ca="1">IF(Inventory[[#This Row],[Reorder?]]="Yes",'Inventory Complete'!$G$4+_xlfn.XLOOKUP(Inventory[[#This Row],[Product ID]],Vendor[ID],Vendor[Typical 
Order Time]),"")</f>
        <v>45835</v>
      </c>
    </row>
    <row r="19" spans="3:11">
      <c r="C19" s="2">
        <v>113</v>
      </c>
      <c r="D19" s="2" t="str">
        <f>_xlfn.XLOOKUP(Inventory[[#This Row],[Product ID]],Vendor[ID],Vendor[Product])</f>
        <v>Shattered</v>
      </c>
      <c r="E19" s="2">
        <v>8</v>
      </c>
      <c r="F19" s="3">
        <v>2.1895287319506238</v>
      </c>
      <c r="G19" s="3">
        <f t="shared" si="0"/>
        <v>6.5685861958518714</v>
      </c>
      <c r="H19" s="3">
        <f>Inventory[[#This Row],[Sale Price 
per Unit]]*Inventory[[#This Row],[Quantity in 
Stock]]</f>
        <v>52.548689566814971</v>
      </c>
      <c r="I19" s="2">
        <v>7</v>
      </c>
      <c r="J19" s="2" t="str">
        <f>IF(Inventory[[#This Row],[Quantity in 
Stock]]&lt;=Inventory[[#This Row],[Reorder
Threshold]],"Yes","No")</f>
        <v>No</v>
      </c>
      <c r="K19" s="16" t="str">
        <f>IF(Inventory[[#This Row],[Reorder?]]="Yes",'Inventory Complete'!$G$4+_xlfn.XLOOKUP(Inventory[[#This Row],[Product ID]],Vendor[ID],Vendor[Typical 
Order Time]),"")</f>
        <v/>
      </c>
    </row>
    <row r="20" spans="3:11">
      <c r="C20" s="2">
        <v>116</v>
      </c>
      <c r="D20" s="2" t="str">
        <f>_xlfn.XLOOKUP(Inventory[[#This Row],[Product ID]],Vendor[ID],Vendor[Product])</f>
        <v>Blackthron</v>
      </c>
      <c r="E20" s="2">
        <v>11</v>
      </c>
      <c r="F20" s="3">
        <v>5.0442445285182647</v>
      </c>
      <c r="G20" s="3">
        <f t="shared" si="0"/>
        <v>15.132733585554794</v>
      </c>
      <c r="H20" s="3">
        <f>Inventory[[#This Row],[Sale Price 
per Unit]]*Inventory[[#This Row],[Quantity in 
Stock]]</f>
        <v>166.46006944110275</v>
      </c>
      <c r="I20" s="2">
        <v>2</v>
      </c>
      <c r="J20" s="2" t="str">
        <f>IF(Inventory[[#This Row],[Quantity in 
Stock]]&lt;=Inventory[[#This Row],[Reorder
Threshold]],"Yes","No")</f>
        <v>No</v>
      </c>
      <c r="K20" s="16" t="str">
        <f>IF(Inventory[[#This Row],[Reorder?]]="Yes",'Inventory Complete'!$G$4+_xlfn.XLOOKUP(Inventory[[#This Row],[Product ID]],Vendor[ID],Vendor[Typical 
Order Time]),"")</f>
        <v/>
      </c>
    </row>
    <row r="21" spans="3:11">
      <c r="C21" s="2">
        <v>118</v>
      </c>
      <c r="D21" s="2" t="str">
        <f>_xlfn.XLOOKUP(Inventory[[#This Row],[Product ID]],Vendor[ID],Vendor[Product])</f>
        <v>The Nexus</v>
      </c>
      <c r="E21" s="2">
        <v>10</v>
      </c>
      <c r="F21" s="3">
        <v>5</v>
      </c>
      <c r="G21" s="3">
        <f>F21*3</f>
        <v>15</v>
      </c>
      <c r="H21" s="3">
        <f>Inventory[[#This Row],[Sale Price 
per Unit]]*Inventory[[#This Row],[Quantity in 
Stock]]</f>
        <v>150</v>
      </c>
      <c r="I21" s="2">
        <v>12</v>
      </c>
      <c r="J21" s="2" t="str">
        <f>IF(Inventory[[#This Row],[Quantity in 
Stock]]&lt;=Inventory[[#This Row],[Reorder
Threshold]],"Yes","No")</f>
        <v>Yes</v>
      </c>
      <c r="K21" s="16">
        <f ca="1">IF(Inventory[[#This Row],[Reorder?]]="Yes",'Inventory Complete'!$G$4+_xlfn.XLOOKUP(Inventory[[#This Row],[Product ID]],Vendor[ID],Vendor[Typical 
Order Time]),"")</f>
        <v>45805</v>
      </c>
    </row>
    <row r="29" spans="3:11">
      <c r="G29" s="3"/>
    </row>
    <row r="30" spans="3:11">
      <c r="G30" s="3"/>
    </row>
    <row r="31" spans="3:11">
      <c r="G31" s="3"/>
    </row>
    <row r="32" spans="3:11">
      <c r="G32" s="3"/>
    </row>
  </sheetData>
  <conditionalFormatting sqref="J8:J21">
    <cfRule type="cellIs" dxfId="21" priority="1" operator="equal">
      <formula>"Yes"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2DDC-92A0-DD42-A096-F512A31EBCCC}">
  <dimension ref="A2:K24"/>
  <sheetViews>
    <sheetView zoomScale="115" zoomScaleNormal="115" workbookViewId="0">
      <selection activeCell="H4" sqref="H4"/>
    </sheetView>
  </sheetViews>
  <sheetFormatPr defaultColWidth="11.109375" defaultRowHeight="15"/>
  <cols>
    <col min="1" max="1" width="20.77734375" style="8" customWidth="1"/>
    <col min="2" max="2" width="4.44140625" customWidth="1"/>
    <col min="3" max="3" width="6.33203125" customWidth="1"/>
    <col min="4" max="4" width="11.44140625" bestFit="1" customWidth="1"/>
    <col min="5" max="5" width="12" bestFit="1" customWidth="1"/>
    <col min="7" max="7" width="10.109375" bestFit="1" customWidth="1"/>
    <col min="8" max="8" width="10.33203125" customWidth="1"/>
    <col min="9" max="10" width="14.109375" customWidth="1"/>
    <col min="11" max="11" width="9.109375" customWidth="1"/>
  </cols>
  <sheetData>
    <row r="2" spans="3:11" ht="20.25">
      <c r="C2" s="17" t="s">
        <v>7</v>
      </c>
      <c r="D2" s="1"/>
      <c r="E2" s="1"/>
      <c r="F2" s="1"/>
      <c r="G2" s="1"/>
      <c r="H2" s="1"/>
      <c r="I2" s="1"/>
      <c r="J2" s="1"/>
      <c r="K2" s="1"/>
    </row>
    <row r="4" spans="3:11" ht="47.25">
      <c r="C4" s="10" t="s">
        <v>36</v>
      </c>
      <c r="D4" s="10" t="s">
        <v>16</v>
      </c>
      <c r="E4" s="10" t="s">
        <v>0</v>
      </c>
      <c r="F4" s="10" t="s">
        <v>2</v>
      </c>
      <c r="G4" s="11" t="s">
        <v>17</v>
      </c>
      <c r="H4" s="11" t="s">
        <v>98</v>
      </c>
      <c r="I4" s="10" t="s">
        <v>5</v>
      </c>
      <c r="J4" s="10" t="s">
        <v>6</v>
      </c>
      <c r="K4" s="10" t="s">
        <v>4</v>
      </c>
    </row>
    <row r="5" spans="3:11">
      <c r="C5" s="2">
        <v>101</v>
      </c>
      <c r="D5" t="s">
        <v>37</v>
      </c>
      <c r="E5" t="s">
        <v>57</v>
      </c>
      <c r="F5" t="s">
        <v>69</v>
      </c>
      <c r="G5" s="14">
        <v>7</v>
      </c>
      <c r="H5" s="2">
        <v>2</v>
      </c>
      <c r="I5" t="s">
        <v>18</v>
      </c>
      <c r="J5" s="13" t="s">
        <v>79</v>
      </c>
      <c r="K5" s="12" t="s">
        <v>27</v>
      </c>
    </row>
    <row r="6" spans="3:11">
      <c r="C6" s="2">
        <f>C5+1</f>
        <v>102</v>
      </c>
      <c r="D6" t="s">
        <v>38</v>
      </c>
      <c r="E6" t="s">
        <v>58</v>
      </c>
      <c r="F6" t="s">
        <v>70</v>
      </c>
      <c r="G6" s="14">
        <v>14</v>
      </c>
      <c r="H6" s="2">
        <v>3</v>
      </c>
      <c r="I6" t="s">
        <v>19</v>
      </c>
      <c r="J6" s="13" t="s">
        <v>80</v>
      </c>
      <c r="K6" s="12" t="s">
        <v>27</v>
      </c>
    </row>
    <row r="7" spans="3:11">
      <c r="C7" s="2">
        <f t="shared" ref="C7:C24" si="0">C6+1</f>
        <v>103</v>
      </c>
      <c r="D7" t="s">
        <v>39</v>
      </c>
      <c r="E7" t="s">
        <v>59</v>
      </c>
      <c r="F7" t="s">
        <v>71</v>
      </c>
      <c r="G7" s="14">
        <v>30</v>
      </c>
      <c r="H7" s="2">
        <v>4</v>
      </c>
      <c r="I7" t="s">
        <v>20</v>
      </c>
      <c r="J7" s="13" t="s">
        <v>81</v>
      </c>
      <c r="K7" s="12" t="s">
        <v>27</v>
      </c>
    </row>
    <row r="8" spans="3:11">
      <c r="C8" s="2">
        <f t="shared" si="0"/>
        <v>104</v>
      </c>
      <c r="D8" t="s">
        <v>40</v>
      </c>
      <c r="E8" t="s">
        <v>60</v>
      </c>
      <c r="F8" t="s">
        <v>72</v>
      </c>
      <c r="G8" s="14">
        <v>7</v>
      </c>
      <c r="H8" s="2">
        <v>1</v>
      </c>
      <c r="I8" t="s">
        <v>21</v>
      </c>
      <c r="J8" s="13" t="s">
        <v>82</v>
      </c>
      <c r="K8" s="12" t="s">
        <v>27</v>
      </c>
    </row>
    <row r="9" spans="3:11">
      <c r="C9" s="2">
        <f t="shared" si="0"/>
        <v>105</v>
      </c>
      <c r="D9" t="s">
        <v>41</v>
      </c>
      <c r="E9" t="s">
        <v>62</v>
      </c>
      <c r="F9" t="s">
        <v>69</v>
      </c>
      <c r="G9" s="14">
        <v>7</v>
      </c>
      <c r="H9" s="2">
        <v>2</v>
      </c>
      <c r="I9" t="s">
        <v>18</v>
      </c>
      <c r="J9" s="13" t="s">
        <v>79</v>
      </c>
      <c r="K9" s="12" t="s">
        <v>27</v>
      </c>
    </row>
    <row r="10" spans="3:11">
      <c r="C10" s="2">
        <f t="shared" si="0"/>
        <v>106</v>
      </c>
      <c r="D10" t="s">
        <v>42</v>
      </c>
      <c r="E10" t="s">
        <v>61</v>
      </c>
      <c r="F10" t="s">
        <v>69</v>
      </c>
      <c r="G10" s="14">
        <v>7</v>
      </c>
      <c r="H10" s="2">
        <v>2</v>
      </c>
      <c r="I10" t="s">
        <v>18</v>
      </c>
      <c r="J10" s="13" t="s">
        <v>79</v>
      </c>
      <c r="K10" s="12" t="s">
        <v>27</v>
      </c>
    </row>
    <row r="11" spans="3:11">
      <c r="C11" s="2">
        <f t="shared" si="0"/>
        <v>107</v>
      </c>
      <c r="D11" t="s">
        <v>43</v>
      </c>
      <c r="E11" t="s">
        <v>63</v>
      </c>
      <c r="F11" t="s">
        <v>69</v>
      </c>
      <c r="G11" s="14">
        <v>7</v>
      </c>
      <c r="H11" s="2">
        <v>2</v>
      </c>
      <c r="I11" t="s">
        <v>18</v>
      </c>
      <c r="J11" s="13" t="s">
        <v>79</v>
      </c>
      <c r="K11" s="12" t="s">
        <v>27</v>
      </c>
    </row>
    <row r="12" spans="3:11">
      <c r="C12" s="2">
        <f t="shared" si="0"/>
        <v>108</v>
      </c>
      <c r="D12" t="s">
        <v>44</v>
      </c>
      <c r="E12" t="s">
        <v>64</v>
      </c>
      <c r="F12" t="s">
        <v>71</v>
      </c>
      <c r="G12" s="14">
        <v>30</v>
      </c>
      <c r="H12" s="2">
        <v>4</v>
      </c>
      <c r="I12" t="s">
        <v>20</v>
      </c>
      <c r="J12" s="13" t="s">
        <v>81</v>
      </c>
      <c r="K12" s="12" t="s">
        <v>27</v>
      </c>
    </row>
    <row r="13" spans="3:11">
      <c r="C13" s="2">
        <f t="shared" si="0"/>
        <v>109</v>
      </c>
      <c r="D13" t="s">
        <v>45</v>
      </c>
      <c r="E13" t="s">
        <v>61</v>
      </c>
      <c r="F13" t="s">
        <v>71</v>
      </c>
      <c r="G13" s="14">
        <v>30</v>
      </c>
      <c r="H13" s="2">
        <v>4</v>
      </c>
      <c r="I13" t="s">
        <v>20</v>
      </c>
      <c r="J13" s="13" t="s">
        <v>81</v>
      </c>
      <c r="K13" s="12" t="s">
        <v>27</v>
      </c>
    </row>
    <row r="14" spans="3:11">
      <c r="C14" s="2">
        <f t="shared" si="0"/>
        <v>110</v>
      </c>
      <c r="D14" t="s">
        <v>46</v>
      </c>
      <c r="E14" t="s">
        <v>65</v>
      </c>
      <c r="F14" t="s">
        <v>71</v>
      </c>
      <c r="G14" s="14">
        <v>30</v>
      </c>
      <c r="H14" s="2">
        <v>4</v>
      </c>
      <c r="I14" t="s">
        <v>20</v>
      </c>
      <c r="J14" s="13" t="s">
        <v>81</v>
      </c>
      <c r="K14" s="12" t="s">
        <v>27</v>
      </c>
    </row>
    <row r="15" spans="3:11">
      <c r="C15" s="2">
        <f t="shared" si="0"/>
        <v>111</v>
      </c>
      <c r="D15" t="s">
        <v>47</v>
      </c>
      <c r="E15" t="s">
        <v>66</v>
      </c>
      <c r="F15" t="s">
        <v>73</v>
      </c>
      <c r="G15" s="14">
        <v>7</v>
      </c>
      <c r="H15" s="2">
        <v>1</v>
      </c>
      <c r="I15" t="s">
        <v>22</v>
      </c>
      <c r="J15" s="13" t="s">
        <v>83</v>
      </c>
      <c r="K15" s="12" t="s">
        <v>27</v>
      </c>
    </row>
    <row r="16" spans="3:11">
      <c r="C16" s="2">
        <f t="shared" si="0"/>
        <v>112</v>
      </c>
      <c r="D16" t="s">
        <v>48</v>
      </c>
      <c r="E16" t="s">
        <v>67</v>
      </c>
      <c r="F16" t="s">
        <v>74</v>
      </c>
      <c r="G16" s="14">
        <v>60</v>
      </c>
      <c r="H16" s="2">
        <v>4</v>
      </c>
      <c r="I16" t="s">
        <v>23</v>
      </c>
      <c r="J16" s="13" t="s">
        <v>84</v>
      </c>
      <c r="K16" s="12" t="s">
        <v>27</v>
      </c>
    </row>
    <row r="17" spans="3:11">
      <c r="C17" s="2">
        <f t="shared" si="0"/>
        <v>113</v>
      </c>
      <c r="D17" t="s">
        <v>49</v>
      </c>
      <c r="E17" t="s">
        <v>59</v>
      </c>
      <c r="F17" t="s">
        <v>75</v>
      </c>
      <c r="G17" s="14">
        <v>5</v>
      </c>
      <c r="H17" s="2">
        <v>4</v>
      </c>
      <c r="I17" t="s">
        <v>24</v>
      </c>
      <c r="J17" s="13" t="s">
        <v>85</v>
      </c>
      <c r="K17" s="12" t="s">
        <v>27</v>
      </c>
    </row>
    <row r="18" spans="3:11">
      <c r="C18" s="2">
        <f t="shared" si="0"/>
        <v>114</v>
      </c>
      <c r="D18" t="s">
        <v>50</v>
      </c>
      <c r="E18" t="s">
        <v>58</v>
      </c>
      <c r="F18" t="s">
        <v>74</v>
      </c>
      <c r="G18" s="14">
        <v>60</v>
      </c>
      <c r="H18" s="2">
        <v>4</v>
      </c>
      <c r="I18" t="s">
        <v>23</v>
      </c>
      <c r="J18" s="13" t="s">
        <v>84</v>
      </c>
      <c r="K18" s="12" t="s">
        <v>27</v>
      </c>
    </row>
    <row r="19" spans="3:11">
      <c r="C19" s="2">
        <f t="shared" si="0"/>
        <v>115</v>
      </c>
      <c r="D19" t="s">
        <v>51</v>
      </c>
      <c r="E19" t="s">
        <v>61</v>
      </c>
      <c r="F19" t="s">
        <v>74</v>
      </c>
      <c r="G19" s="14">
        <v>60</v>
      </c>
      <c r="H19" s="2">
        <v>4</v>
      </c>
      <c r="I19" t="s">
        <v>23</v>
      </c>
      <c r="J19" s="13" t="s">
        <v>84</v>
      </c>
      <c r="K19" s="12" t="s">
        <v>27</v>
      </c>
    </row>
    <row r="20" spans="3:11">
      <c r="C20" s="2">
        <f t="shared" si="0"/>
        <v>116</v>
      </c>
      <c r="D20" t="s">
        <v>52</v>
      </c>
      <c r="E20" t="s">
        <v>67</v>
      </c>
      <c r="F20" t="s">
        <v>74</v>
      </c>
      <c r="G20" s="14">
        <v>60</v>
      </c>
      <c r="H20" s="2">
        <v>4</v>
      </c>
      <c r="I20" t="s">
        <v>23</v>
      </c>
      <c r="J20" s="13" t="s">
        <v>84</v>
      </c>
      <c r="K20" s="12" t="s">
        <v>27</v>
      </c>
    </row>
    <row r="21" spans="3:11">
      <c r="C21" s="2">
        <f t="shared" si="0"/>
        <v>117</v>
      </c>
      <c r="D21" t="s">
        <v>53</v>
      </c>
      <c r="E21" t="s">
        <v>61</v>
      </c>
      <c r="F21" t="s">
        <v>74</v>
      </c>
      <c r="G21" s="14">
        <v>60</v>
      </c>
      <c r="H21" s="2">
        <v>4</v>
      </c>
      <c r="I21" t="s">
        <v>23</v>
      </c>
      <c r="J21" s="13" t="s">
        <v>84</v>
      </c>
      <c r="K21" s="12" t="s">
        <v>27</v>
      </c>
    </row>
    <row r="22" spans="3:11">
      <c r="C22" s="2">
        <f t="shared" si="0"/>
        <v>118</v>
      </c>
      <c r="D22" t="s">
        <v>54</v>
      </c>
      <c r="E22" t="s">
        <v>59</v>
      </c>
      <c r="F22" t="s">
        <v>76</v>
      </c>
      <c r="G22" s="14">
        <v>30</v>
      </c>
      <c r="H22" s="2">
        <v>4</v>
      </c>
      <c r="I22" t="s">
        <v>26</v>
      </c>
      <c r="J22" s="13" t="s">
        <v>86</v>
      </c>
      <c r="K22" s="12" t="s">
        <v>27</v>
      </c>
    </row>
    <row r="23" spans="3:11">
      <c r="C23" s="2">
        <f t="shared" si="0"/>
        <v>119</v>
      </c>
      <c r="D23" t="s">
        <v>55</v>
      </c>
      <c r="E23" t="s">
        <v>61</v>
      </c>
      <c r="F23" t="s">
        <v>77</v>
      </c>
      <c r="G23" s="14">
        <v>60</v>
      </c>
      <c r="H23" s="2">
        <v>2</v>
      </c>
      <c r="I23" t="s">
        <v>25</v>
      </c>
      <c r="J23" s="13" t="s">
        <v>87</v>
      </c>
      <c r="K23" s="12" t="s">
        <v>27</v>
      </c>
    </row>
    <row r="24" spans="3:11">
      <c r="C24" s="2">
        <f t="shared" si="0"/>
        <v>120</v>
      </c>
      <c r="D24" t="s">
        <v>56</v>
      </c>
      <c r="E24" t="s">
        <v>68</v>
      </c>
      <c r="F24" t="s">
        <v>78</v>
      </c>
      <c r="G24" s="14">
        <v>60</v>
      </c>
      <c r="H24" s="2">
        <v>4</v>
      </c>
      <c r="I24" t="s">
        <v>26</v>
      </c>
      <c r="J24" s="13" t="s">
        <v>86</v>
      </c>
      <c r="K24" s="12" t="s">
        <v>27</v>
      </c>
    </row>
  </sheetData>
  <phoneticPr fontId="4" type="noConversion"/>
  <hyperlinks>
    <hyperlink ref="J5" r:id="rId1" xr:uid="{18A779BD-E6C1-43BE-978C-2CE8B1293A2D}"/>
    <hyperlink ref="J6" r:id="rId2" xr:uid="{840CD508-C320-43D8-9AA7-9B1C6160C530}"/>
    <hyperlink ref="J7" r:id="rId3" xr:uid="{74124871-41BE-4DB6-9792-5E6E3A51294D}"/>
    <hyperlink ref="J8" r:id="rId4" xr:uid="{88E48A78-D9B5-44E0-B52A-E85459282EBC}"/>
    <hyperlink ref="J9" r:id="rId5" xr:uid="{78F71A5D-B86B-442B-862B-EE516B211B09}"/>
    <hyperlink ref="J10" r:id="rId6" xr:uid="{3B5B3BB0-1DDA-4694-A00B-B7293D21C6EA}"/>
    <hyperlink ref="J11" r:id="rId7" xr:uid="{3F85FFF7-6B20-4B98-9D6A-4903AFB297BA}"/>
    <hyperlink ref="J12" r:id="rId8" xr:uid="{16E13CB0-BC33-41E7-8466-47C68D8C2029}"/>
    <hyperlink ref="J13" r:id="rId9" xr:uid="{9DD9774B-8AE8-4916-9CE9-0487EE693F6B}"/>
    <hyperlink ref="J14" r:id="rId10" xr:uid="{23BB827E-B01F-41D7-92BF-04067F90DA14}"/>
    <hyperlink ref="J15" r:id="rId11" xr:uid="{3E1BAE58-4E4F-457B-A025-05E3D0B9EC8F}"/>
    <hyperlink ref="J16" r:id="rId12" xr:uid="{ABC83CFB-F07D-4506-B3AC-DED52B9AD6F4}"/>
    <hyperlink ref="J17" r:id="rId13" xr:uid="{149299AC-2FDB-435F-8B56-28562FAC6125}"/>
    <hyperlink ref="J18" r:id="rId14" xr:uid="{19E7AE1B-3580-4FBC-97E9-609E01BA3D09}"/>
    <hyperlink ref="J19" r:id="rId15" xr:uid="{F20CC734-76C3-48F1-850E-1A25F0FB72A2}"/>
    <hyperlink ref="J20" r:id="rId16" xr:uid="{B6F222BC-BE2B-4B66-A38E-CDF70D91ECB0}"/>
    <hyperlink ref="J21" r:id="rId17" xr:uid="{33822AE1-7D87-4D1C-A0E6-9217A259FEB4}"/>
    <hyperlink ref="J22" r:id="rId18" xr:uid="{930FA42F-AA81-4F20-BEB5-1AF28F761B60}"/>
    <hyperlink ref="J23" r:id="rId19" xr:uid="{AF6F6074-527E-4127-9E16-1CC906B2A980}"/>
    <hyperlink ref="J24" r:id="rId20" xr:uid="{86B8DB44-35BF-42FE-86DB-1C75C6F99F1E}"/>
  </hyperlinks>
  <pageMargins left="0.7" right="0.7" top="0.75" bottom="0.75" header="0.3" footer="0.3"/>
  <drawing r:id="rId21"/>
  <tableParts count="1">
    <tablePart r:id="rId2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0DBF-CD7D-9A43-A471-F07C1552CD34}">
  <dimension ref="A2:H23"/>
  <sheetViews>
    <sheetView zoomScale="115" zoomScaleNormal="115" workbookViewId="0">
      <selection activeCell="E8" sqref="E8"/>
    </sheetView>
  </sheetViews>
  <sheetFormatPr defaultColWidth="11.109375" defaultRowHeight="15"/>
  <cols>
    <col min="1" max="1" width="20.77734375" style="8" customWidth="1"/>
    <col min="2" max="2" width="4.44140625" customWidth="1"/>
    <col min="7" max="7" width="13.44140625" bestFit="1" customWidth="1"/>
    <col min="8" max="8" width="23.77734375" bestFit="1" customWidth="1"/>
  </cols>
  <sheetData>
    <row r="2" spans="3:8" ht="20.25">
      <c r="C2" s="17" t="s">
        <v>14</v>
      </c>
      <c r="D2" s="1"/>
      <c r="E2" s="1"/>
      <c r="F2" s="1"/>
      <c r="G2" s="1"/>
      <c r="H2" s="1"/>
    </row>
    <row r="4" spans="3:8" ht="15.75">
      <c r="C4" t="s">
        <v>13</v>
      </c>
      <c r="D4" s="7">
        <f>SUM(F7:F10)</f>
        <v>89.917254600439179</v>
      </c>
    </row>
    <row r="6" spans="3:8" ht="15.75">
      <c r="C6" s="9" t="s">
        <v>15</v>
      </c>
      <c r="D6" s="9" t="s">
        <v>16</v>
      </c>
      <c r="E6" s="9" t="s">
        <v>11</v>
      </c>
      <c r="F6" s="9" t="s">
        <v>12</v>
      </c>
      <c r="G6" s="9" t="s">
        <v>3</v>
      </c>
      <c r="H6" s="9" t="s">
        <v>35</v>
      </c>
    </row>
    <row r="7" spans="3:8">
      <c r="C7" s="2" cm="1">
        <f t="array" ref="C7:D11">_xlfn._xlws.FILTER(Inventory[[#All],[Product ID]:[Product]],Inventory[[#All],[Reorder?]]="Yes")</f>
        <v>101</v>
      </c>
      <c r="D7" s="2" t="str">
        <v>Fading Light</v>
      </c>
      <c r="E7" s="2">
        <f>_xlfn.XLOOKUP(C7,Vendor[ID],Vendor[Reorder],"")</f>
        <v>2</v>
      </c>
      <c r="F7" s="6">
        <f>IFERROR(E7*_xlfn.XLOOKUP('Order Summary Complete'!C7,Inventory[Product ID],Inventory[Cost per 
Unit]),"")</f>
        <v>13.071526219692572</v>
      </c>
      <c r="G7" t="str" cm="1">
        <f t="array" ref="G7:H7">_xlfn.XLOOKUP(C7,Vendor[ID],Vendor[[Contact Name]:[Email Address]],"")</f>
        <v>Josh Smith</v>
      </c>
      <c r="H7" t="str">
        <v>josh.smith@gmail.com</v>
      </c>
    </row>
    <row r="8" spans="3:8">
      <c r="C8" s="2">
        <v>103</v>
      </c>
      <c r="D8" s="2" t="str">
        <v>Iron Sky</v>
      </c>
      <c r="E8" s="2">
        <f>_xlfn.XLOOKUP(C8,Vendor[ID],Vendor[Reorder],"")</f>
        <v>4</v>
      </c>
      <c r="F8" s="6">
        <f>IFERROR(E8*_xlfn.XLOOKUP('Order Summary Complete'!C8,Inventory[Product ID],Inventory[Cost per 
Unit],""),"")</f>
        <v>38.646021258512086</v>
      </c>
      <c r="G8" t="str" cm="1">
        <f t="array" ref="G8:H8">_xlfn.XLOOKUP(C8,Vendor[ID],Vendor[[Contact Name]:[Email Address]],"")</f>
        <v>Mikel Artena</v>
      </c>
      <c r="H8" t="str">
        <v>mikel.artena@gmail.com</v>
      </c>
    </row>
    <row r="9" spans="3:8">
      <c r="C9" s="2">
        <v>110</v>
      </c>
      <c r="D9" s="2" t="str">
        <v>Frostfire</v>
      </c>
      <c r="E9" s="2">
        <f>_xlfn.XLOOKUP(C9,Vendor[ID],Vendor[Reorder],"")</f>
        <v>4</v>
      </c>
      <c r="F9" s="6">
        <f>IFERROR(E9*_xlfn.XLOOKUP('Order Summary Complete'!C9,Inventory[Product ID],Inventory[Cost per 
Unit],""),"")</f>
        <v>6.2708205620990185</v>
      </c>
      <c r="G9" t="str" cm="1">
        <f t="array" ref="G9:H9">_xlfn.XLOOKUP(C9,Vendor[ID],Vendor[[Contact Name]:[Email Address]],"")</f>
        <v>Mikel Artena</v>
      </c>
      <c r="H9" t="str">
        <v>mikel.artena@gmail.com</v>
      </c>
    </row>
    <row r="10" spans="3:8">
      <c r="C10" s="2">
        <v>112</v>
      </c>
      <c r="D10" s="2" t="str">
        <v>Crimson</v>
      </c>
      <c r="E10" s="2">
        <f>_xlfn.XLOOKUP(C10,Vendor[ID],Vendor[Reorder],"")</f>
        <v>4</v>
      </c>
      <c r="F10" s="6">
        <f>IFERROR(E10*_xlfn.XLOOKUP('Order Summary Complete'!C10,Inventory[Product ID],Inventory[Cost per 
Unit],""),"")</f>
        <v>31.928886560135496</v>
      </c>
      <c r="G10" t="str" cm="1">
        <f t="array" ref="G10:H10">_xlfn.XLOOKUP(C10,Vendor[ID],Vendor[[Contact Name]:[Email Address]],"")</f>
        <v>Miriam Adelson</v>
      </c>
      <c r="H10" t="str">
        <v>miriam.adelson@gmail.com</v>
      </c>
    </row>
    <row r="11" spans="3:8">
      <c r="C11" s="2">
        <v>118</v>
      </c>
      <c r="D11" s="2" t="str">
        <v>The Nexus</v>
      </c>
      <c r="E11" s="2">
        <f>_xlfn.XLOOKUP(C11,Vendor[ID],Vendor[Reorder],"")</f>
        <v>4</v>
      </c>
      <c r="F11" s="6">
        <f>IFERROR(E11*_xlfn.XLOOKUP('Order Summary Complete'!C11,Inventory[Product ID],Inventory[Cost per 
Unit],""),"")</f>
        <v>20</v>
      </c>
      <c r="G11" t="str" cm="1">
        <f t="array" ref="G11:H11">_xlfn.XLOOKUP(C11,Vendor[ID],Vendor[[Contact Name]:[Email Address]],"")</f>
        <v>Jim Simons</v>
      </c>
      <c r="H11" t="str">
        <v>jim.simons@gmail.com</v>
      </c>
    </row>
    <row r="12" spans="3:8">
      <c r="C12" s="2"/>
      <c r="D12" s="2"/>
      <c r="E12" s="2" t="str">
        <f>_xlfn.XLOOKUP(C12,Vendor[ID],Vendor[Reorder],"")</f>
        <v/>
      </c>
      <c r="F12" s="6" t="str">
        <f>IFERROR(E12*_xlfn.XLOOKUP('Order Summary Complete'!C12,Inventory[Product ID],Inventory[Cost per 
Unit],""),"")</f>
        <v/>
      </c>
      <c r="G12" t="str" cm="1">
        <f t="array" ref="G12">_xlfn.XLOOKUP(C12,Vendor[ID],Vendor[[Contact Name]:[Email Address]],"")</f>
        <v/>
      </c>
    </row>
    <row r="13" spans="3:8">
      <c r="C13" s="2"/>
      <c r="D13" s="2"/>
      <c r="E13" s="2" t="str">
        <f>_xlfn.XLOOKUP(C13,Vendor[ID],Vendor[Reorder],"")</f>
        <v/>
      </c>
      <c r="F13" s="6" t="str">
        <f>IFERROR(E13*_xlfn.XLOOKUP('Order Summary Complete'!C13,Inventory[Product ID],Inventory[Cost per 
Unit],""),"")</f>
        <v/>
      </c>
      <c r="G13" t="str" cm="1">
        <f t="array" ref="G13">_xlfn.XLOOKUP(C13,Vendor[ID],Vendor[[Contact Name]:[Email Address]],"")</f>
        <v/>
      </c>
    </row>
    <row r="14" spans="3:8">
      <c r="C14" s="2"/>
      <c r="D14" s="2"/>
      <c r="E14" s="2" t="str">
        <f>_xlfn.XLOOKUP(C14,Vendor[ID],Vendor[Reorder],"")</f>
        <v/>
      </c>
      <c r="F14" s="6" t="str">
        <f>IFERROR(E14*_xlfn.XLOOKUP('Order Summary Complete'!C14,Inventory[Product ID],Inventory[Cost per 
Unit],""),"")</f>
        <v/>
      </c>
      <c r="G14" t="str" cm="1">
        <f t="array" ref="G14">_xlfn.XLOOKUP(C14,Vendor[ID],Vendor[[Contact Name]:[Email Address]],"")</f>
        <v/>
      </c>
    </row>
    <row r="15" spans="3:8">
      <c r="C15" s="2"/>
      <c r="D15" s="2"/>
      <c r="E15" s="2" t="str">
        <f>_xlfn.XLOOKUP(C15,Vendor[ID],Vendor[Reorder],"")</f>
        <v/>
      </c>
      <c r="F15" s="6" t="str">
        <f>IFERROR(E15*_xlfn.XLOOKUP('Order Summary Complete'!C15,Inventory[Product ID],Inventory[Cost per 
Unit],""),"")</f>
        <v/>
      </c>
      <c r="G15" t="str" cm="1">
        <f t="array" ref="G15">_xlfn.XLOOKUP(C15,Vendor[ID],Vendor[[Contact Name]:[Email Address]],"")</f>
        <v/>
      </c>
    </row>
    <row r="16" spans="3:8">
      <c r="C16" s="2"/>
      <c r="D16" s="2"/>
      <c r="E16" s="2" t="str">
        <f>_xlfn.XLOOKUP(C16,Vendor[ID],Vendor[Reorder],"")</f>
        <v/>
      </c>
      <c r="F16" s="6" t="str">
        <f>IFERROR(E16*_xlfn.XLOOKUP('Order Summary Complete'!C16,Inventory[Product ID],Inventory[Cost per 
Unit],""),"")</f>
        <v/>
      </c>
      <c r="G16" t="str" cm="1">
        <f t="array" ref="G16">_xlfn.XLOOKUP(C16,Vendor[ID],Vendor[[Contact Name]:[Email Address]],"")</f>
        <v/>
      </c>
    </row>
    <row r="17" spans="3:7">
      <c r="C17" s="2"/>
      <c r="D17" s="2"/>
      <c r="E17" s="2" t="str">
        <f>_xlfn.XLOOKUP(C17,Vendor[ID],Vendor[Reorder],"")</f>
        <v/>
      </c>
      <c r="F17" s="6" t="str">
        <f>IFERROR(E17*_xlfn.XLOOKUP('Order Summary Complete'!C17,Inventory[Product ID],Inventory[Cost per 
Unit],""),"")</f>
        <v/>
      </c>
      <c r="G17" t="str" cm="1">
        <f t="array" ref="G17">_xlfn.XLOOKUP(C17,Vendor[ID],Vendor[[Contact Name]:[Email Address]],"")</f>
        <v/>
      </c>
    </row>
    <row r="18" spans="3:7">
      <c r="C18" s="2"/>
      <c r="D18" s="2"/>
      <c r="E18" s="2" t="str">
        <f>_xlfn.XLOOKUP(C18,Vendor[ID],Vendor[Reorder],"")</f>
        <v/>
      </c>
      <c r="F18" s="6" t="str">
        <f>IFERROR(E18*_xlfn.XLOOKUP('Order Summary Complete'!C18,Inventory[Product ID],Inventory[Cost per 
Unit],""),"")</f>
        <v/>
      </c>
      <c r="G18" t="str" cm="1">
        <f t="array" ref="G18">_xlfn.XLOOKUP(C18,Vendor[ID],Vendor[[Contact Name]:[Email Address]],"")</f>
        <v/>
      </c>
    </row>
    <row r="19" spans="3:7">
      <c r="C19" s="2"/>
      <c r="D19" s="2"/>
      <c r="E19" s="2" t="str">
        <f>_xlfn.XLOOKUP(C19,Vendor[ID],Vendor[Reorder],"")</f>
        <v/>
      </c>
      <c r="F19" s="6" t="str">
        <f>IFERROR(E19*_xlfn.XLOOKUP('Order Summary Complete'!C19,Inventory[Product ID],Inventory[Cost per 
Unit],""),"")</f>
        <v/>
      </c>
      <c r="G19" t="str" cm="1">
        <f t="array" ref="G19">_xlfn.XLOOKUP(C19,Vendor[ID],Vendor[[Contact Name]:[Email Address]],"")</f>
        <v/>
      </c>
    </row>
    <row r="20" spans="3:7">
      <c r="C20" s="2"/>
      <c r="D20" s="2"/>
      <c r="E20" s="2" t="str">
        <f>_xlfn.XLOOKUP(C20,Vendor[ID],Vendor[Reorder],"")</f>
        <v/>
      </c>
      <c r="F20" s="6" t="str">
        <f>IFERROR(E20*_xlfn.XLOOKUP('Order Summary Complete'!C20,Inventory[Product ID],Inventory[Cost per 
Unit],""),"")</f>
        <v/>
      </c>
      <c r="G20" t="str" cm="1">
        <f t="array" ref="G20">_xlfn.XLOOKUP(C20,Vendor[ID],Vendor[[Contact Name]:[Email Address]],"")</f>
        <v/>
      </c>
    </row>
    <row r="21" spans="3:7">
      <c r="C21" s="2"/>
      <c r="D21" s="2"/>
      <c r="E21" s="2" t="str">
        <f>_xlfn.XLOOKUP(C21,Vendor[ID],Vendor[Reorder],"")</f>
        <v/>
      </c>
    </row>
    <row r="22" spans="3:7">
      <c r="C22" s="2"/>
      <c r="D22" s="2"/>
      <c r="E22" s="2" t="str">
        <f>_xlfn.XLOOKUP(C22,Vendor[ID],Vendor[Reorder],"")</f>
        <v/>
      </c>
    </row>
    <row r="23" spans="3:7">
      <c r="C23" s="2"/>
      <c r="D23" s="2"/>
      <c r="E23" s="2" t="str">
        <f>_xlfn.XLOOKUP(C23,Vendor[ID],Vendor[Reorder],"")</f>
        <v/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Inventory</vt:lpstr>
      <vt:lpstr>Vendor Info</vt:lpstr>
      <vt:lpstr>Order Summary</vt:lpstr>
      <vt:lpstr>Inventory Complete</vt:lpstr>
      <vt:lpstr>Vendor Info Complete</vt:lpstr>
      <vt:lpstr>Order Summary 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Hp</cp:lastModifiedBy>
  <dcterms:created xsi:type="dcterms:W3CDTF">2024-08-31T08:46:09Z</dcterms:created>
  <dcterms:modified xsi:type="dcterms:W3CDTF">2025-04-28T04:02:48Z</dcterms:modified>
</cp:coreProperties>
</file>