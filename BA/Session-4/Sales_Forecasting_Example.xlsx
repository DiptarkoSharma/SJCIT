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DA0C1A4-32B1-4298-BAE7-1DE8854DF9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C27" i="2"/>
  <c r="C31" i="2"/>
  <c r="C28" i="2"/>
  <c r="C29" i="2"/>
  <c r="C30" i="2"/>
  <c r="D30" i="2" l="1"/>
  <c r="E28" i="2"/>
  <c r="E27" i="2"/>
  <c r="D26" i="2"/>
  <c r="D31" i="2"/>
  <c r="E30" i="2"/>
  <c r="D28" i="2"/>
  <c r="D27" i="2"/>
  <c r="E31" i="2"/>
  <c r="D29" i="2"/>
  <c r="E26" i="2"/>
  <c r="E29" i="2"/>
</calcChain>
</file>

<file path=xl/sharedStrings.xml><?xml version="1.0" encoding="utf-8"?>
<sst xmlns="http://schemas.openxmlformats.org/spreadsheetml/2006/main" count="7" uniqueCount="5">
  <si>
    <t>Month</t>
  </si>
  <si>
    <t>Sales ($)</t>
  </si>
  <si>
    <t>Forecast(Sales ($))</t>
  </si>
  <si>
    <t>Lower Confidence Bound(Sales ($))</t>
  </si>
  <si>
    <t>Upper Confidence Bound(Sales ($))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</si>
</sst>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0" formatCode="d\-mmm\-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Sheet2!$B$2:$B$31</c:f>
              <c:numCache>
                <c:formatCode>General</c:formatCode>
                <c:ptCount val="30"/>
                <c:pt idx="0">
                  <c:v>9602</c:v>
                </c:pt>
                <c:pt idx="1">
                  <c:v>10235</c:v>
                </c:pt>
                <c:pt idx="2">
                  <c:v>10960</c:v>
                </c:pt>
                <c:pt idx="3">
                  <c:v>10670</c:v>
                </c:pt>
                <c:pt idx="4">
                  <c:v>10806</c:v>
                </c:pt>
                <c:pt idx="5">
                  <c:v>11071</c:v>
                </c:pt>
                <c:pt idx="6">
                  <c:v>12000</c:v>
                </c:pt>
                <c:pt idx="7">
                  <c:v>11620</c:v>
                </c:pt>
                <c:pt idx="8">
                  <c:v>12514</c:v>
                </c:pt>
                <c:pt idx="9">
                  <c:v>12321</c:v>
                </c:pt>
                <c:pt idx="10">
                  <c:v>12966</c:v>
                </c:pt>
                <c:pt idx="11">
                  <c:v>13014</c:v>
                </c:pt>
                <c:pt idx="12">
                  <c:v>13430</c:v>
                </c:pt>
                <c:pt idx="13">
                  <c:v>13858</c:v>
                </c:pt>
                <c:pt idx="14">
                  <c:v>13787</c:v>
                </c:pt>
                <c:pt idx="15">
                  <c:v>14372</c:v>
                </c:pt>
                <c:pt idx="16">
                  <c:v>14399</c:v>
                </c:pt>
                <c:pt idx="17">
                  <c:v>15471</c:v>
                </c:pt>
                <c:pt idx="18">
                  <c:v>15563</c:v>
                </c:pt>
                <c:pt idx="19">
                  <c:v>15330</c:v>
                </c:pt>
                <c:pt idx="20">
                  <c:v>16161</c:v>
                </c:pt>
                <c:pt idx="21">
                  <c:v>16108</c:v>
                </c:pt>
                <c:pt idx="22">
                  <c:v>16869</c:v>
                </c:pt>
                <c:pt idx="23">
                  <c:v>16743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1-45FC-BB1B-5CC73274BFBF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Forecast(Sales ($))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Sheet2!$A$2:$A$31</c:f>
              <c:numCache>
                <c:formatCode>d\-mmm\-yy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Sheet2!$C$2:$C$31</c:f>
              <c:numCache>
                <c:formatCode>General</c:formatCode>
                <c:ptCount val="30"/>
                <c:pt idx="23">
                  <c:v>16743</c:v>
                </c:pt>
                <c:pt idx="24">
                  <c:v>17177.683413426854</c:v>
                </c:pt>
                <c:pt idx="25">
                  <c:v>17486.976936188865</c:v>
                </c:pt>
                <c:pt idx="26">
                  <c:v>17796.270458950876</c:v>
                </c:pt>
                <c:pt idx="27">
                  <c:v>18105.56398171289</c:v>
                </c:pt>
                <c:pt idx="28">
                  <c:v>18414.857504474901</c:v>
                </c:pt>
                <c:pt idx="29">
                  <c:v>18724.151027236912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01-45FC-BB1B-5CC73274BFBF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Bound(Sales ($))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Sheet2!$A$2:$A$31</c:f>
              <c:numCache>
                <c:formatCode>d\-mmm\-yy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Sheet2!$D$2:$D$31</c:f>
              <c:numCache>
                <c:formatCode>General</c:formatCode>
                <c:ptCount val="30"/>
                <c:pt idx="23" formatCode="0.00">
                  <c:v>16743</c:v>
                </c:pt>
                <c:pt idx="24" formatCode="0.00">
                  <c:v>16617.785242757785</c:v>
                </c:pt>
                <c:pt idx="25" formatCode="0.00">
                  <c:v>16924.230250892524</c:v>
                </c:pt>
                <c:pt idx="26" formatCode="0.00">
                  <c:v>17230.633349351745</c:v>
                </c:pt>
                <c:pt idx="27" formatCode="0.00">
                  <c:v>17536.994625942276</c:v>
                </c:pt>
                <c:pt idx="28" formatCode="0.00">
                  <c:v>17843.31417586263</c:v>
                </c:pt>
                <c:pt idx="29" formatCode="0.00">
                  <c:v>18149.592101445192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01-45FC-BB1B-5CC73274BFBF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Bound(Sales ($))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Sheet2!$A$2:$A$31</c:f>
              <c:numCache>
                <c:formatCode>d\-mmm\-yy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Sheet2!$E$2:$E$31</c:f>
              <c:numCache>
                <c:formatCode>General</c:formatCode>
                <c:ptCount val="30"/>
                <c:pt idx="23" formatCode="0.00">
                  <c:v>16743</c:v>
                </c:pt>
                <c:pt idx="24" formatCode="0.00">
                  <c:v>17737.581584095922</c:v>
                </c:pt>
                <c:pt idx="25" formatCode="0.00">
                  <c:v>18049.723621485206</c:v>
                </c:pt>
                <c:pt idx="26" formatCode="0.00">
                  <c:v>18361.907568550007</c:v>
                </c:pt>
                <c:pt idx="27" formatCode="0.00">
                  <c:v>18674.133337483505</c:v>
                </c:pt>
                <c:pt idx="28" formatCode="0.00">
                  <c:v>18986.400833087173</c:v>
                </c:pt>
                <c:pt idx="29" formatCode="0.00">
                  <c:v>19298.709953028632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01-45FC-BB1B-5CC73274B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860640"/>
        <c:axId val="795639792"/>
      </c:lineChart>
      <c:catAx>
        <c:axId val="25286064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639792"/>
        <c:crosses val="autoZero"/>
        <c:auto val="1"/>
        <c:lblAlgn val="ctr"/>
        <c:lblOffset val="100"/>
        <c:noMultiLvlLbl val="0"/>
      </c:catAx>
      <c:valAx>
        <c:axId val="7956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8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781050</xdr:colOff>
      <xdr:row>0</xdr:row>
      <xdr:rowOff>138112</xdr:rowOff>
    </xdr:from>
    <xdr:to>
      <xdr:col>12</xdr:col>
      <xdr:colOff>361950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84DC2-EAF6-4ADE-85A8-6312B78E2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02060-DBD7-425B-B95F-F77A0EFFAA2B}" name="Table1" displayName="Table1" ref="A1:E31" totalsRowShown="0">
  <autoFilter ref="A1:E31" xr:uid="{4A902060-DBD7-425B-B95F-F77A0EFFAA2B}"/>
  <tableColumns count="5">
    <tableColumn id="1" xr3:uid="{E48727C5-012B-40DE-86AF-6F1859E2C49C}" name="Month" dataDxfId="2"/>
    <tableColumn id="2" xr3:uid="{75909FA3-8ED8-4687-916B-30EF80847373}" name="Sales ($)"/>
    <tableColumn id="3" xr3:uid="{1546E45B-B853-4BA4-8872-29F9EEEB8958}" name="Forecast(Sales ($))">
      <calculatedColumnFormula>_xlfn.FORECAST.ETS(A2,$B$2:$B$25,$A$2:$A$25,1,1)</calculatedColumnFormula>
    </tableColumn>
    <tableColumn id="4" xr3:uid="{41012EBA-193B-4389-9B4B-DE32E5F6E941}" name="Lower Confidence Bound(Sales ($))" dataDxfId="1">
      <calculatedColumnFormula>C2-_xlfn.FORECAST.ETS.CONFINT(A2,$B$2:$B$25,$A$2:$A$25,0.95,1,1)</calculatedColumnFormula>
    </tableColumn>
    <tableColumn id="5" xr3:uid="{CC318132-5E51-4C38-8112-3A25DA6D7122}" name="Upper Confidence Bound(Sales ($))" dataDxfId="0">
      <calculatedColumnFormula>C2+_xlfn.FORECAST.ETS.CONFINT(A2,$B$2:$B$25,$A$2:$A$25,0.95,1,1)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FA94-B251-4D75-BD46-E06A75E3BA54}">
  <dimension ref="A1:E31"/>
  <sheetViews>
    <sheetView tabSelected="1" workbookViewId="0">
      <selection activeCell="C2" sqref="C2"/>
    </sheetView>
  </sheetViews>
  <sheetFormatPr defaultRowHeight="15" x14ac:dyDescent="0.25"/>
  <cols>
    <col min="2" max="2" width="10.5703125" customWidth="1"/>
    <col min="3" max="3" width="19.42578125" customWidth="1"/>
    <col min="4" max="4" width="34.140625" customWidth="1"/>
    <col min="5" max="5" width="3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44927</v>
      </c>
      <c r="B2">
        <v>9602</v>
      </c>
    </row>
    <row r="3" spans="1:5" x14ac:dyDescent="0.25">
      <c r="A3" s="2">
        <v>44958</v>
      </c>
      <c r="B3">
        <v>10235</v>
      </c>
    </row>
    <row r="4" spans="1:5" x14ac:dyDescent="0.25">
      <c r="A4" s="2">
        <v>44986</v>
      </c>
      <c r="B4">
        <v>10960</v>
      </c>
    </row>
    <row r="5" spans="1:5" x14ac:dyDescent="0.25">
      <c r="A5" s="2">
        <v>45017</v>
      </c>
      <c r="B5">
        <v>10670</v>
      </c>
    </row>
    <row r="6" spans="1:5" x14ac:dyDescent="0.25">
      <c r="A6" s="2">
        <v>45047</v>
      </c>
      <c r="B6">
        <v>10806</v>
      </c>
    </row>
    <row r="7" spans="1:5" x14ac:dyDescent="0.25">
      <c r="A7" s="2">
        <v>45078</v>
      </c>
      <c r="B7">
        <v>11071</v>
      </c>
    </row>
    <row r="8" spans="1:5" x14ac:dyDescent="0.25">
      <c r="A8" s="2">
        <v>45108</v>
      </c>
      <c r="B8">
        <v>12000</v>
      </c>
    </row>
    <row r="9" spans="1:5" x14ac:dyDescent="0.25">
      <c r="A9" s="2">
        <v>45139</v>
      </c>
      <c r="B9">
        <v>11620</v>
      </c>
    </row>
    <row r="10" spans="1:5" x14ac:dyDescent="0.25">
      <c r="A10" s="2">
        <v>45170</v>
      </c>
      <c r="B10">
        <v>12514</v>
      </c>
    </row>
    <row r="11" spans="1:5" x14ac:dyDescent="0.25">
      <c r="A11" s="2">
        <v>45200</v>
      </c>
      <c r="B11">
        <v>12321</v>
      </c>
    </row>
    <row r="12" spans="1:5" x14ac:dyDescent="0.25">
      <c r="A12" s="2">
        <v>45231</v>
      </c>
      <c r="B12">
        <v>12966</v>
      </c>
    </row>
    <row r="13" spans="1:5" x14ac:dyDescent="0.25">
      <c r="A13" s="2">
        <v>45261</v>
      </c>
      <c r="B13">
        <v>13014</v>
      </c>
    </row>
    <row r="14" spans="1:5" x14ac:dyDescent="0.25">
      <c r="A14" s="2">
        <v>45292</v>
      </c>
      <c r="B14">
        <v>13430</v>
      </c>
    </row>
    <row r="15" spans="1:5" x14ac:dyDescent="0.25">
      <c r="A15" s="2">
        <v>45323</v>
      </c>
      <c r="B15">
        <v>13858</v>
      </c>
    </row>
    <row r="16" spans="1:5" x14ac:dyDescent="0.25">
      <c r="A16" s="2">
        <v>45352</v>
      </c>
      <c r="B16">
        <v>13787</v>
      </c>
    </row>
    <row r="17" spans="1:5" x14ac:dyDescent="0.25">
      <c r="A17" s="2">
        <v>45383</v>
      </c>
      <c r="B17">
        <v>14372</v>
      </c>
    </row>
    <row r="18" spans="1:5" x14ac:dyDescent="0.25">
      <c r="A18" s="2">
        <v>45413</v>
      </c>
      <c r="B18">
        <v>14399</v>
      </c>
    </row>
    <row r="19" spans="1:5" x14ac:dyDescent="0.25">
      <c r="A19" s="2">
        <v>45444</v>
      </c>
      <c r="B19">
        <v>15471</v>
      </c>
    </row>
    <row r="20" spans="1:5" x14ac:dyDescent="0.25">
      <c r="A20" s="2">
        <v>45474</v>
      </c>
      <c r="B20">
        <v>15563</v>
      </c>
    </row>
    <row r="21" spans="1:5" x14ac:dyDescent="0.25">
      <c r="A21" s="2">
        <v>45505</v>
      </c>
      <c r="B21">
        <v>15330</v>
      </c>
    </row>
    <row r="22" spans="1:5" x14ac:dyDescent="0.25">
      <c r="A22" s="2">
        <v>45536</v>
      </c>
      <c r="B22">
        <v>16161</v>
      </c>
    </row>
    <row r="23" spans="1:5" x14ac:dyDescent="0.25">
      <c r="A23" s="2">
        <v>45566</v>
      </c>
      <c r="B23">
        <v>16108</v>
      </c>
    </row>
    <row r="24" spans="1:5" x14ac:dyDescent="0.25">
      <c r="A24" s="2">
        <v>45597</v>
      </c>
      <c r="B24">
        <v>16869</v>
      </c>
    </row>
    <row r="25" spans="1:5" x14ac:dyDescent="0.25">
      <c r="A25" s="2">
        <v>45627</v>
      </c>
      <c r="B25">
        <v>16743</v>
      </c>
      <c r="C25">
        <v>16743</v>
      </c>
      <c r="D25" s="3">
        <v>16743</v>
      </c>
      <c r="E25" s="3">
        <v>16743</v>
      </c>
    </row>
    <row r="26" spans="1:5" x14ac:dyDescent="0.25">
      <c r="A26" s="2">
        <v>45658</v>
      </c>
      <c r="C26">
        <f>_xlfn.FORECAST.ETS(A26,$B$2:$B$25,$A$2:$A$25,1,1)</f>
        <v>17177.683413426854</v>
      </c>
      <c r="D26" s="3">
        <f>C26-_xlfn.FORECAST.ETS.CONFINT(A26,$B$2:$B$25,$A$2:$A$25,0.95,1,1)</f>
        <v>16617.785242757785</v>
      </c>
      <c r="E26" s="3">
        <f>C26+_xlfn.FORECAST.ETS.CONFINT(A26,$B$2:$B$25,$A$2:$A$25,0.95,1,1)</f>
        <v>17737.581584095922</v>
      </c>
    </row>
    <row r="27" spans="1:5" x14ac:dyDescent="0.25">
      <c r="A27" s="2">
        <v>45689</v>
      </c>
      <c r="C27">
        <f>_xlfn.FORECAST.ETS(A27,$B$2:$B$25,$A$2:$A$25,1,1)</f>
        <v>17486.976936188865</v>
      </c>
      <c r="D27" s="3">
        <f>C27-_xlfn.FORECAST.ETS.CONFINT(A27,$B$2:$B$25,$A$2:$A$25,0.95,1,1)</f>
        <v>16924.230250892524</v>
      </c>
      <c r="E27" s="3">
        <f>C27+_xlfn.FORECAST.ETS.CONFINT(A27,$B$2:$B$25,$A$2:$A$25,0.95,1,1)</f>
        <v>18049.723621485206</v>
      </c>
    </row>
    <row r="28" spans="1:5" x14ac:dyDescent="0.25">
      <c r="A28" s="2">
        <v>45717</v>
      </c>
      <c r="C28">
        <f>_xlfn.FORECAST.ETS(A28,$B$2:$B$25,$A$2:$A$25,1,1)</f>
        <v>17796.270458950876</v>
      </c>
      <c r="D28" s="3">
        <f>C28-_xlfn.FORECAST.ETS.CONFINT(A28,$B$2:$B$25,$A$2:$A$25,0.95,1,1)</f>
        <v>17230.633349351745</v>
      </c>
      <c r="E28" s="3">
        <f>C28+_xlfn.FORECAST.ETS.CONFINT(A28,$B$2:$B$25,$A$2:$A$25,0.95,1,1)</f>
        <v>18361.907568550007</v>
      </c>
    </row>
    <row r="29" spans="1:5" x14ac:dyDescent="0.25">
      <c r="A29" s="2">
        <v>45748</v>
      </c>
      <c r="C29">
        <f>_xlfn.FORECAST.ETS(A29,$B$2:$B$25,$A$2:$A$25,1,1)</f>
        <v>18105.56398171289</v>
      </c>
      <c r="D29" s="3">
        <f>C29-_xlfn.FORECAST.ETS.CONFINT(A29,$B$2:$B$25,$A$2:$A$25,0.95,1,1)</f>
        <v>17536.994625942276</v>
      </c>
      <c r="E29" s="3">
        <f>C29+_xlfn.FORECAST.ETS.CONFINT(A29,$B$2:$B$25,$A$2:$A$25,0.95,1,1)</f>
        <v>18674.133337483505</v>
      </c>
    </row>
    <row r="30" spans="1:5" x14ac:dyDescent="0.25">
      <c r="A30" s="2">
        <v>45778</v>
      </c>
      <c r="C30">
        <f>_xlfn.FORECAST.ETS(A30,$B$2:$B$25,$A$2:$A$25,1,1)</f>
        <v>18414.857504474901</v>
      </c>
      <c r="D30" s="3">
        <f>C30-_xlfn.FORECAST.ETS.CONFINT(A30,$B$2:$B$25,$A$2:$A$25,0.95,1,1)</f>
        <v>17843.31417586263</v>
      </c>
      <c r="E30" s="3">
        <f>C30+_xlfn.FORECAST.ETS.CONFINT(A30,$B$2:$B$25,$A$2:$A$25,0.95,1,1)</f>
        <v>18986.400833087173</v>
      </c>
    </row>
    <row r="31" spans="1:5" x14ac:dyDescent="0.25">
      <c r="A31" s="2">
        <v>45809</v>
      </c>
      <c r="C31">
        <f>_xlfn.FORECAST.ETS(A31,$B$2:$B$25,$A$2:$A$25,1,1)</f>
        <v>18724.151027236912</v>
      </c>
      <c r="D31" s="3">
        <f>C31-_xlfn.FORECAST.ETS.CONFINT(A31,$B$2:$B$25,$A$2:$A$25,0.95,1,1)</f>
        <v>18149.592101445192</v>
      </c>
      <c r="E31" s="3">
        <f>C31+_xlfn.FORECAST.ETS.CONFINT(A31,$B$2:$B$25,$A$2:$A$25,0.95,1,1)</f>
        <v>19298.709953028632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opLeftCell="A6" workbookViewId="0">
      <selection activeCell="A18" sqref="A1:B2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44927</v>
      </c>
      <c r="B2">
        <v>9602</v>
      </c>
    </row>
    <row r="3" spans="1:2" x14ac:dyDescent="0.25">
      <c r="A3" s="2">
        <v>44958</v>
      </c>
      <c r="B3">
        <v>10235</v>
      </c>
    </row>
    <row r="4" spans="1:2" x14ac:dyDescent="0.25">
      <c r="A4" s="2">
        <v>44986</v>
      </c>
      <c r="B4">
        <v>10960</v>
      </c>
    </row>
    <row r="5" spans="1:2" x14ac:dyDescent="0.25">
      <c r="A5" s="2">
        <v>45017</v>
      </c>
      <c r="B5">
        <v>10670</v>
      </c>
    </row>
    <row r="6" spans="1:2" x14ac:dyDescent="0.25">
      <c r="A6" s="2">
        <v>45047</v>
      </c>
      <c r="B6">
        <v>10806</v>
      </c>
    </row>
    <row r="7" spans="1:2" x14ac:dyDescent="0.25">
      <c r="A7" s="2">
        <v>45078</v>
      </c>
      <c r="B7">
        <v>11071</v>
      </c>
    </row>
    <row r="8" spans="1:2" x14ac:dyDescent="0.25">
      <c r="A8" s="2">
        <v>45108</v>
      </c>
      <c r="B8">
        <v>12000</v>
      </c>
    </row>
    <row r="9" spans="1:2" x14ac:dyDescent="0.25">
      <c r="A9" s="2">
        <v>45139</v>
      </c>
      <c r="B9">
        <v>11620</v>
      </c>
    </row>
    <row r="10" spans="1:2" x14ac:dyDescent="0.25">
      <c r="A10" s="2">
        <v>45170</v>
      </c>
      <c r="B10">
        <v>12514</v>
      </c>
    </row>
    <row r="11" spans="1:2" x14ac:dyDescent="0.25">
      <c r="A11" s="2">
        <v>45200</v>
      </c>
      <c r="B11">
        <v>12321</v>
      </c>
    </row>
    <row r="12" spans="1:2" x14ac:dyDescent="0.25">
      <c r="A12" s="2">
        <v>45231</v>
      </c>
      <c r="B12">
        <v>12966</v>
      </c>
    </row>
    <row r="13" spans="1:2" x14ac:dyDescent="0.25">
      <c r="A13" s="2">
        <v>45261</v>
      </c>
      <c r="B13">
        <v>13014</v>
      </c>
    </row>
    <row r="14" spans="1:2" x14ac:dyDescent="0.25">
      <c r="A14" s="2">
        <v>45292</v>
      </c>
      <c r="B14">
        <v>13430</v>
      </c>
    </row>
    <row r="15" spans="1:2" x14ac:dyDescent="0.25">
      <c r="A15" s="2">
        <v>45323</v>
      </c>
      <c r="B15">
        <v>13858</v>
      </c>
    </row>
    <row r="16" spans="1:2" x14ac:dyDescent="0.25">
      <c r="A16" s="2">
        <v>45352</v>
      </c>
      <c r="B16">
        <v>13787</v>
      </c>
    </row>
    <row r="17" spans="1:2" x14ac:dyDescent="0.25">
      <c r="A17" s="2">
        <v>45383</v>
      </c>
      <c r="B17">
        <v>14372</v>
      </c>
    </row>
    <row r="18" spans="1:2" x14ac:dyDescent="0.25">
      <c r="A18" s="2">
        <v>45413</v>
      </c>
      <c r="B18">
        <v>14399</v>
      </c>
    </row>
    <row r="19" spans="1:2" x14ac:dyDescent="0.25">
      <c r="A19" s="2">
        <v>45444</v>
      </c>
      <c r="B19">
        <v>15471</v>
      </c>
    </row>
    <row r="20" spans="1:2" x14ac:dyDescent="0.25">
      <c r="A20" s="2">
        <v>45474</v>
      </c>
      <c r="B20">
        <v>15563</v>
      </c>
    </row>
    <row r="21" spans="1:2" x14ac:dyDescent="0.25">
      <c r="A21" s="2">
        <v>45505</v>
      </c>
      <c r="B21">
        <v>15330</v>
      </c>
    </row>
    <row r="22" spans="1:2" x14ac:dyDescent="0.25">
      <c r="A22" s="2">
        <v>45536</v>
      </c>
      <c r="B22">
        <v>16161</v>
      </c>
    </row>
    <row r="23" spans="1:2" x14ac:dyDescent="0.25">
      <c r="A23" s="2">
        <v>45566</v>
      </c>
      <c r="B23">
        <v>16108</v>
      </c>
    </row>
    <row r="24" spans="1:2" x14ac:dyDescent="0.25">
      <c r="A24" s="2">
        <v>45597</v>
      </c>
      <c r="B24">
        <v>16869</v>
      </c>
    </row>
    <row r="25" spans="1:2" x14ac:dyDescent="0.25">
      <c r="A25" s="2">
        <v>45627</v>
      </c>
      <c r="B25">
        <v>16743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2025-04-15T15:54:51Z</dcterms:created>
  <dcterms:modified xsi:type="dcterms:W3CDTF">2025-04-16T08:05:43Z</dcterms:modified>
</cp:coreProperties>
</file>